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effd\OneDrive\Desktop\GC-Weekly-Stats\"/>
    </mc:Choice>
  </mc:AlternateContent>
  <xr:revisionPtr revIDLastSave="0" documentId="13_ncr:1_{950821E7-645E-4ACA-A86D-66B3573D4A90}" xr6:coauthVersionLast="47" xr6:coauthVersionMax="47" xr10:uidLastSave="{00000000-0000-0000-0000-000000000000}"/>
  <bookViews>
    <workbookView xWindow="28680" yWindow="-120" windowWidth="29040" windowHeight="15720" xr2:uid="{00000000-000D-0000-FFFF-FFFF00000000}"/>
  </bookViews>
  <sheets>
    <sheet name="Export" sheetId="1" r:id="rId1"/>
    <sheet name="Salon 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0" i="2" l="1"/>
  <c r="A34" i="2"/>
  <c r="A28" i="2"/>
  <c r="A22" i="2"/>
  <c r="M18" i="2"/>
  <c r="L18" i="2"/>
  <c r="J18" i="2" a="1"/>
  <c r="J18" i="2" s="1"/>
  <c r="K18" i="2" s="1"/>
  <c r="H18" i="2" a="1"/>
  <c r="H18" i="2" s="1"/>
  <c r="I18" i="2" s="1"/>
  <c r="F18" i="2" a="1"/>
  <c r="F18" i="2" s="1"/>
  <c r="G18" i="2" s="1"/>
  <c r="D18" i="2" a="1"/>
  <c r="D18" i="2" s="1"/>
  <c r="E18" i="2" s="1"/>
  <c r="M17" i="2"/>
  <c r="L17" i="2"/>
  <c r="J17" i="2" a="1"/>
  <c r="J17" i="2" s="1"/>
  <c r="K17" i="2" s="1"/>
  <c r="H17" i="2" a="1"/>
  <c r="H17" i="2" s="1"/>
  <c r="I17" i="2" s="1"/>
  <c r="F17" i="2" a="1"/>
  <c r="F17" i="2" s="1"/>
  <c r="G17" i="2" s="1"/>
  <c r="D17" i="2" a="1"/>
  <c r="D17" i="2" s="1"/>
  <c r="E17" i="2" s="1"/>
  <c r="M16" i="2"/>
  <c r="L16" i="2"/>
  <c r="J16" i="2" a="1"/>
  <c r="J16" i="2" s="1"/>
  <c r="K16" i="2" s="1"/>
  <c r="H16" i="2" a="1"/>
  <c r="H16" i="2" s="1"/>
  <c r="F16" i="2" a="1"/>
  <c r="F16" i="2" s="1"/>
  <c r="G16" i="2" s="1"/>
  <c r="D16" i="2" a="1"/>
  <c r="D16" i="2" s="1"/>
  <c r="E16" i="2" s="1"/>
  <c r="M15" i="2"/>
  <c r="L15" i="2"/>
  <c r="J15" i="2" a="1"/>
  <c r="J15" i="2" s="1"/>
  <c r="K15" i="2" s="1"/>
  <c r="H15" i="2" a="1"/>
  <c r="H15" i="2" s="1"/>
  <c r="I15" i="2" s="1"/>
  <c r="F15" i="2" a="1"/>
  <c r="F15" i="2" s="1"/>
  <c r="G15" i="2" s="1"/>
  <c r="D15" i="2" a="1"/>
  <c r="D15" i="2" s="1"/>
  <c r="E15" i="2" s="1"/>
  <c r="M14" i="2"/>
  <c r="L14" i="2"/>
  <c r="J14" i="2" a="1"/>
  <c r="J14" i="2" s="1"/>
  <c r="K14" i="2" s="1"/>
  <c r="H14" i="2" a="1"/>
  <c r="H14" i="2" s="1"/>
  <c r="I14" i="2" s="1"/>
  <c r="F14" i="2" a="1"/>
  <c r="F14" i="2" s="1"/>
  <c r="D14" i="2" a="1"/>
  <c r="D14" i="2" s="1"/>
  <c r="E14" i="2" s="1"/>
  <c r="M13" i="2"/>
  <c r="L13" i="2"/>
  <c r="J13" i="2" a="1"/>
  <c r="J13" i="2" s="1"/>
  <c r="K13" i="2" s="1"/>
  <c r="H13" i="2" a="1"/>
  <c r="H13" i="2" s="1"/>
  <c r="I13" i="2" s="1"/>
  <c r="F13" i="2" a="1"/>
  <c r="F13" i="2" s="1"/>
  <c r="G13" i="2" s="1"/>
  <c r="D13" i="2" a="1"/>
  <c r="D13" i="2" s="1"/>
  <c r="E13" i="2" s="1"/>
  <c r="M12" i="2"/>
  <c r="L12" i="2"/>
  <c r="J12" i="2" a="1"/>
  <c r="J12" i="2" s="1"/>
  <c r="K12" i="2" s="1"/>
  <c r="H12" i="2" a="1"/>
  <c r="H12" i="2" s="1"/>
  <c r="I12" i="2" s="1"/>
  <c r="F12" i="2" a="1"/>
  <c r="F12" i="2" s="1"/>
  <c r="G12" i="2" s="1"/>
  <c r="D12" i="2" a="1"/>
  <c r="D12" i="2" s="1"/>
  <c r="E12" i="2" s="1"/>
  <c r="M11" i="2"/>
  <c r="L11" i="2"/>
  <c r="J11" i="2" a="1"/>
  <c r="J11" i="2" s="1"/>
  <c r="K11" i="2" s="1"/>
  <c r="H11" i="2" a="1"/>
  <c r="H11" i="2" s="1"/>
  <c r="I11" i="2" s="1"/>
  <c r="F11" i="2" a="1"/>
  <c r="F11" i="2" s="1"/>
  <c r="G11" i="2" s="1"/>
  <c r="D11" i="2" a="1"/>
  <c r="D11" i="2" s="1"/>
  <c r="E11" i="2" s="1"/>
  <c r="M10" i="2"/>
  <c r="L10" i="2"/>
  <c r="J10" i="2" a="1"/>
  <c r="J10" i="2" s="1"/>
  <c r="K10" i="2" s="1"/>
  <c r="H10" i="2" a="1"/>
  <c r="H10" i="2" s="1"/>
  <c r="I10" i="2" s="1"/>
  <c r="F10" i="2" a="1"/>
  <c r="F10" i="2" s="1"/>
  <c r="G10" i="2" s="1"/>
  <c r="D10" i="2" a="1"/>
  <c r="D10" i="2" s="1"/>
  <c r="E10" i="2" s="1"/>
  <c r="M9" i="2"/>
  <c r="L9" i="2"/>
  <c r="J9" i="2" a="1"/>
  <c r="J9" i="2" s="1"/>
  <c r="K9" i="2" s="1"/>
  <c r="H9" i="2" a="1"/>
  <c r="H9" i="2" s="1"/>
  <c r="I9" i="2" s="1"/>
  <c r="F9" i="2" a="1"/>
  <c r="F9" i="2" s="1"/>
  <c r="G9" i="2" s="1"/>
  <c r="D9" i="2" a="1"/>
  <c r="D9" i="2" s="1"/>
  <c r="E9" i="2" s="1"/>
  <c r="M8" i="2"/>
  <c r="L8" i="2"/>
  <c r="J8" i="2" a="1"/>
  <c r="J8" i="2" s="1"/>
  <c r="K8" i="2" s="1"/>
  <c r="H8" i="2" a="1"/>
  <c r="H8" i="2" s="1"/>
  <c r="F8" i="2" a="1"/>
  <c r="F8" i="2" s="1"/>
  <c r="G8" i="2" s="1"/>
  <c r="D8" i="2" a="1"/>
  <c r="D8" i="2" s="1"/>
  <c r="E8" i="2" s="1"/>
  <c r="M7" i="2"/>
  <c r="L7" i="2"/>
  <c r="J7" i="2" a="1"/>
  <c r="J7" i="2" s="1"/>
  <c r="K7" i="2" s="1"/>
  <c r="H7" i="2" a="1"/>
  <c r="H7" i="2" s="1"/>
  <c r="I7" i="2" s="1"/>
  <c r="F7" i="2" a="1"/>
  <c r="F7" i="2" s="1"/>
  <c r="G7" i="2" s="1"/>
  <c r="D7" i="2" a="1"/>
  <c r="D7" i="2" s="1"/>
  <c r="E7" i="2" s="1"/>
  <c r="M6" i="2"/>
  <c r="L6" i="2"/>
  <c r="J6" i="2" a="1"/>
  <c r="J6" i="2" s="1"/>
  <c r="K6" i="2" s="1"/>
  <c r="H6" i="2" a="1"/>
  <c r="H6" i="2" s="1"/>
  <c r="I6" i="2" s="1"/>
  <c r="F6" i="2" a="1"/>
  <c r="F6" i="2" s="1"/>
  <c r="G6" i="2" s="1"/>
  <c r="D6" i="2" a="1"/>
  <c r="D6" i="2" s="1"/>
  <c r="E6" i="2" s="1"/>
  <c r="J5" i="2" a="1"/>
  <c r="J5" i="2" s="1"/>
  <c r="K5" i="2" s="1"/>
  <c r="H5" i="2" a="1"/>
  <c r="H5" i="2" s="1"/>
  <c r="I5" i="2" s="1"/>
  <c r="F5" i="2" a="1"/>
  <c r="F5" i="2" s="1"/>
  <c r="G5" i="2" s="1"/>
  <c r="M5" i="2"/>
  <c r="L5" i="2"/>
  <c r="D5" i="2" a="1"/>
  <c r="D5" i="2" s="1"/>
  <c r="A29" i="2" l="1"/>
  <c r="I8" i="2"/>
  <c r="A37" i="2" s="1"/>
  <c r="I16" i="2"/>
  <c r="A36" i="2" s="1"/>
  <c r="G14" i="2"/>
  <c r="A30" i="2" s="1"/>
  <c r="A43" i="2"/>
  <c r="E5" i="2"/>
  <c r="A23" i="2" s="1"/>
  <c r="A41" i="2"/>
  <c r="A24" i="2"/>
  <c r="A25" i="2"/>
  <c r="A31" i="2"/>
  <c r="A35" i="2"/>
  <c r="A4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<sst xmlns="http://schemas.openxmlformats.org/spreadsheetml/2006/main" count="150" uniqueCount="130">
  <si>
    <t>Salon</t>
  </si>
  <si>
    <t>SalonWeekEndingDate</t>
  </si>
  <si>
    <t>Cust Count</t>
  </si>
  <si>
    <t>Cust Count Last Year</t>
  </si>
  <si>
    <t>Cust Count % Change</t>
  </si>
  <si>
    <t>New Cust</t>
  </si>
  <si>
    <t>New Cust %</t>
  </si>
  <si>
    <t>Salon New Cust Return %</t>
  </si>
  <si>
    <t>Salon Repeat Cust Return %</t>
  </si>
  <si>
    <t>Floor Hours</t>
  </si>
  <si>
    <t>Sat/Sun Floor Hours %</t>
  </si>
  <si>
    <t>Floor Hours Growth</t>
  </si>
  <si>
    <t>Wait Times &gt; 15Min %</t>
  </si>
  <si>
    <t>Sat/Sun Wait Times &gt; 15Min %</t>
  </si>
  <si>
    <t>Avg Wait Time</t>
  </si>
  <si>
    <t>Avg HC Time</t>
  </si>
  <si>
    <t>CPH</t>
  </si>
  <si>
    <t>Productivity</t>
  </si>
  <si>
    <t>Discount %</t>
  </si>
  <si>
    <t>4216: North River Ranch</t>
  </si>
  <si>
    <t>4442: Weeki Wachee</t>
  </si>
  <si>
    <t>3750: Publix at County Line Road</t>
  </si>
  <si>
    <t>0528: Soho Pointe</t>
  </si>
  <si>
    <t>3596: Belmont Development</t>
  </si>
  <si>
    <t>0529: Village Plaza at Westchase</t>
  </si>
  <si>
    <t>3331: Terrace Ridge Plaza</t>
  </si>
  <si>
    <t>0539: Spring Hill</t>
  </si>
  <si>
    <t>4078: Apollo Beach at Waterset</t>
  </si>
  <si>
    <t>8072: High Glen</t>
  </si>
  <si>
    <t>2544: Target Center</t>
  </si>
  <si>
    <t>5843: Goolsby Pointe</t>
  </si>
  <si>
    <t>2988: Loughman Crossing</t>
  </si>
  <si>
    <t>3708: 4th Street Shoppes</t>
  </si>
  <si>
    <t>3087: Plantation Square</t>
  </si>
  <si>
    <t>8936: Landings Square</t>
  </si>
  <si>
    <t>1715: Hillsboro Plaza</t>
  </si>
  <si>
    <t>9646: Highland City Towncenter</t>
  </si>
  <si>
    <t>5825: Bardmoor Promenade</t>
  </si>
  <si>
    <t>3892: University Walk</t>
  </si>
  <si>
    <t>0505: Creekwood Crossing</t>
  </si>
  <si>
    <t>3672: Champions Crossing</t>
  </si>
  <si>
    <t>8733: Town and Country Square</t>
  </si>
  <si>
    <t>5842: The Bluffs</t>
  </si>
  <si>
    <t>2791: Mariner Commons</t>
  </si>
  <si>
    <t>0527: Ridgemoor Commons</t>
  </si>
  <si>
    <t>7072: French Golden Gate</t>
  </si>
  <si>
    <t>0392: Nokomis Village</t>
  </si>
  <si>
    <t>3609: Shoppes of Lake Miriam Crossing</t>
  </si>
  <si>
    <t>3800: Publix at Braden River</t>
  </si>
  <si>
    <t>2684: University Corners</t>
  </si>
  <si>
    <t>0509: Sunset Point</t>
  </si>
  <si>
    <t>1886: Tuscola Commons</t>
  </si>
  <si>
    <t>3950: Cross Creek Commons</t>
  </si>
  <si>
    <t>0510: Carrollwood Commons</t>
  </si>
  <si>
    <t>1194: Lithia Crossings</t>
  </si>
  <si>
    <t>0556: Caladesi Shopping Center</t>
  </si>
  <si>
    <t>1370: Lakewood Ranch Plaza</t>
  </si>
  <si>
    <t>3991: Fresh Market Promenade</t>
  </si>
  <si>
    <t>5829: Arbor Square</t>
  </si>
  <si>
    <t>0937: Hollybrook Plaza</t>
  </si>
  <si>
    <t>1369: Sarasota Crossings</t>
  </si>
  <si>
    <t>8696: City Plaza at Tampa Palms</t>
  </si>
  <si>
    <t>0538: University Village</t>
  </si>
  <si>
    <t>1460: Publix at Seven Hills</t>
  </si>
  <si>
    <t>2658: Starkey Ranch Town Square</t>
  </si>
  <si>
    <t>9841: Shoppes of Heron Creek</t>
  </si>
  <si>
    <t>3339: Market at Mirada</t>
  </si>
  <si>
    <t>3859: Plaza of The Oaks</t>
  </si>
  <si>
    <t>3945: Gateway Commons</t>
  </si>
  <si>
    <t>9610: City Crossings</t>
  </si>
  <si>
    <t>0697: Van Dyke Commons</t>
  </si>
  <si>
    <t>3288: Alafia Commons</t>
  </si>
  <si>
    <t>8726: North East Park</t>
  </si>
  <si>
    <t>9023: Hays Road Town Center</t>
  </si>
  <si>
    <t>0518: Beneva Village SC</t>
  </si>
  <si>
    <t>0526: Pinebrook Commons</t>
  </si>
  <si>
    <t>3826: Kings Crossing Publix</t>
  </si>
  <si>
    <t>8817: Town Square</t>
  </si>
  <si>
    <t>0557: Northwood Plaza</t>
  </si>
  <si>
    <t>3775: White Eagle</t>
  </si>
  <si>
    <t>8721: Shoppes at Citrus Park</t>
  </si>
  <si>
    <t>8940: The Shoppes at Northwoods</t>
  </si>
  <si>
    <t>3540: West Village Marketplace</t>
  </si>
  <si>
    <t>1724: Kingsway Crossing</t>
  </si>
  <si>
    <t>2277: Shoppes at Sugarmill Woods</t>
  </si>
  <si>
    <t>0546: Shoppes at Boot Ranch</t>
  </si>
  <si>
    <t>9640: Shoppes of South Bay</t>
  </si>
  <si>
    <t>9168: Zephyr Commons SC</t>
  </si>
  <si>
    <t>0544: Venice Village</t>
  </si>
  <si>
    <t>0688: Southshore Village</t>
  </si>
  <si>
    <t>0536: Clearwater Mall</t>
  </si>
  <si>
    <t>0663: Shoppes of Citrus Hills</t>
  </si>
  <si>
    <t>2023: Venice Commons</t>
  </si>
  <si>
    <t>5834: Cortez Commons</t>
  </si>
  <si>
    <t>1380: Ridge Plaza</t>
  </si>
  <si>
    <t>1381: Encore Commons</t>
  </si>
  <si>
    <t>1053: Valrico Commons</t>
  </si>
  <si>
    <t>2013: Shoppes at the Royale</t>
  </si>
  <si>
    <t>0543: Seminole Oaks</t>
  </si>
  <si>
    <t>0523: Palms of Carrollwood</t>
  </si>
  <si>
    <t>1366: Shoppes at Grand Cypress</t>
  </si>
  <si>
    <t>8946: Pavilion Crossing</t>
  </si>
  <si>
    <t>9286: Centergate Plaza</t>
  </si>
  <si>
    <t>0540: Shoppes on the Ridge</t>
  </si>
  <si>
    <t>0555: Tarpon Springs Mall</t>
  </si>
  <si>
    <t>9349: Shoppes at Sunlake Centre</t>
  </si>
  <si>
    <t>1694: Southeast Plaza</t>
  </si>
  <si>
    <t>2633: The Shops at Shelby Crossing</t>
  </si>
  <si>
    <t>0534: Mitchell Ranch Plaza</t>
  </si>
  <si>
    <t>0522: Publix at Parkwood Square</t>
  </si>
  <si>
    <t>My Salons vs. Competition — Week Ending 07/24/26</t>
  </si>
  <si>
    <t>Metric</t>
  </si>
  <si>
    <t>Col</t>
  </si>
  <si>
    <t>Dir</t>
  </si>
  <si>
    <t>Value</t>
  </si>
  <si>
    <t>Rank</t>
  </si>
  <si>
    <t>New Cust Return %</t>
  </si>
  <si>
    <t>Repeat Cust Return %</t>
  </si>
  <si>
    <t>Wait Times &gt; 15 Min %</t>
  </si>
  <si>
    <t>Avg Wait Time (min)</t>
  </si>
  <si>
    <t>Avg HC Time (min)</t>
  </si>
  <si>
    <t>Rank = position among the 92 rows in the Export tab (1 = best). Note: '0528: Soho Pointe' is duplicated in the export, so 91 unique salons.</t>
  </si>
  <si>
    <t>Salon-by-Salon Summary vs. Competition</t>
  </si>
  <si>
    <t>Verdict: winning the customer, losing on the economics. Acquisition and retention are top-5 in the chain, but heavy discounting and low throughput mean that traffic isn't converting into productive hours. Priority is pulling the discount rate back toward chain norms and tightening service times.</t>
  </si>
  <si>
    <t>Verdict: the standout of the four and a top-quartile performer chain-wide. Growth, speed, efficiency, and margin discipline all line up. The one gap worth attacking is top-of-funnel — local marketing to lift new-guest share should compound well given the strong new-customer return rate.</t>
  </si>
  <si>
    <t>Verdict: a demand problem, not a service problem. The salon retains who it has but is not attracting enough traffic to cover the hours on the floor. Two levers: trim scheduled hours to match realized demand (waits give plenty of headroom), and drive new-guest trial in the trade area.</t>
  </si>
  <si>
    <t>Verdict: hours and demand are fine; throughput is the bottleneck. Cutting the average haircut time toward the ~15-minute chain norm would clear the wait problem without adding a single floor hour, and would lift CPH and productivity at the same time. Highest-leverage single fix across the four salons.</t>
  </si>
  <si>
    <t>System</t>
  </si>
  <si>
    <t>Avg</t>
  </si>
  <si>
    <t>Median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</si>
</sst>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0.00%"/>
    <numFmt numFmtId="165" formatCode="#,##0.0%;\-#,##0.0%;#,##0.0%"/>
    <numFmt numFmtId="166" formatCode="0.0%;\-0.0%;0.0%"/>
    <numFmt numFmtId="167" formatCode="#,##0.0"/>
    <numFmt numFmtId="168" formatCode="\$#,##0.00;\(\$#,##0.00\);\$#,##0.00"/>
    <numFmt numFmtId="169" formatCode="[$-F800]dddd\,\ mmmm\ dd\,\ yyyy"/>
    <numFmt numFmtId="170" formatCode="0.0%"/>
    <numFmt numFmtId="171" formatCode="0.0"/>
  </numFmts>
  <fonts count="8" x14ac:knownFonts="1">
    <font>
      <sz val="11"/>
      <name val="Aptos Narrow"/>
    </font>
    <font>
      <b/>
      <sz val="11"/>
      <name val="Aptos Narrow"/>
      <family val="2"/>
    </font>
    <font>
      <sz val="11"/>
      <name val="Aptos Narrow"/>
      <family val="2"/>
    </font>
    <font>
      <b/>
      <sz val="14"/>
      <name val="Aptos Narrow"/>
      <family val="2"/>
    </font>
    <font>
      <i/>
      <sz val="11"/>
      <color rgb="FF595959"/>
      <name val="Aptos Narrow"/>
      <family val="2"/>
    </font>
    <font>
      <sz val="11"/>
      <color rgb="FFBFBFBF"/>
      <name val="Aptos Narrow"/>
      <family val="2"/>
    </font>
    <font>
      <b/>
      <sz val="11"/>
      <color rgb="FFBFBFBF"/>
      <name val="Aptos Narrow"/>
      <family val="2"/>
    </font>
    <font>
      <b/>
      <sz val="12"/>
      <name val="Aptos Narrow"/>
      <family val="2"/>
    </font>
  </fonts>
  <fills count="3">
    <fill>
      <patternFill patternType="none"/>
    </fill>
    <fill>
      <patternFill patternType="gray125"/>
    </fill>
    <fill>
      <patternFill patternType="solid">
        <fgColor rgb="FFFFFF00"/>
        <bgColor indexed="64"/>
      </patternFill>
    </fill>
  </fills>
  <borders count="6">
    <border>
      <left/>
      <right/>
      <top/>
      <bottom/>
      <diagonal/>
    </border>
    <border>
      <left/>
      <right/>
      <top/>
      <bottom style="thin">
        <color auto="1"/>
      </bottom>
      <diagonal/>
    </border>
    <border>
      <left/>
      <right style="thin">
        <color auto="1"/>
      </right>
      <top/>
      <bottom/>
      <diagonal/>
    </border>
    <border>
      <left style="thin">
        <color indexed="64"/>
      </left>
      <right/>
      <top/>
      <bottom/>
      <diagonal/>
    </border>
    <border>
      <left style="thin">
        <color indexed="64"/>
      </left>
      <right/>
      <top/>
      <bottom style="thin">
        <color auto="1"/>
      </bottom>
      <diagonal/>
    </border>
    <border>
      <left/>
      <right style="thin">
        <color indexed="64"/>
      </right>
      <top/>
      <bottom style="thin">
        <color auto="1"/>
      </bottom>
      <diagonal/>
    </border>
  </borders>
  <cellStyleXfs count="1">
    <xf numFmtId="0" fontId="0" fillId="0" borderId="0"/>
  </cellStyleXfs>
  <cellXfs count="71">
    <xf numFmtId="0" fontId="0" fillId="0" borderId="0" xfId="0"/>
    <xf numFmtId="0" fontId="0" fillId="0" borderId="0" xfId="0" applyAlignment="1">
      <alignment vertical="top"/>
    </xf>
    <xf numFmtId="169" fontId="0" fillId="0" borderId="2" xfId="0" applyNumberFormat="1" applyBorder="1"/>
    <xf numFmtId="0" fontId="1" fillId="2" borderId="0" xfId="0" applyFont="1" applyFill="1" applyAlignment="1">
      <alignment vertical="top"/>
    </xf>
    <xf numFmtId="169" fontId="1" fillId="2" borderId="2" xfId="0" applyNumberFormat="1" applyFont="1" applyFill="1" applyBorder="1"/>
    <xf numFmtId="0" fontId="2" fillId="0" borderId="0" xfId="0" applyFont="1" applyAlignment="1">
      <alignment vertical="top"/>
    </xf>
    <xf numFmtId="169" fontId="2" fillId="0" borderId="2" xfId="0" applyNumberFormat="1" applyFont="1" applyBorder="1"/>
    <xf numFmtId="0" fontId="2" fillId="0" borderId="0" xfId="0" applyFont="1"/>
    <xf numFmtId="3" fontId="1" fillId="0" borderId="0" xfId="0" applyNumberFormat="1" applyFont="1" applyAlignment="1">
      <alignment horizontal="center"/>
    </xf>
    <xf numFmtId="164" fontId="1" fillId="0" borderId="0" xfId="0" applyNumberFormat="1" applyFont="1" applyAlignment="1">
      <alignment horizontal="center"/>
    </xf>
    <xf numFmtId="165" fontId="1" fillId="0" borderId="0" xfId="0" applyNumberFormat="1" applyFont="1" applyAlignment="1">
      <alignment horizontal="center"/>
    </xf>
    <xf numFmtId="166" fontId="1" fillId="0" borderId="0" xfId="0" applyNumberFormat="1" applyFont="1" applyAlignment="1">
      <alignment horizontal="center"/>
    </xf>
    <xf numFmtId="0" fontId="1" fillId="0" borderId="0" xfId="0" applyFont="1" applyAlignment="1">
      <alignment horizontal="center"/>
    </xf>
    <xf numFmtId="4" fontId="1" fillId="0" borderId="0" xfId="0" applyNumberFormat="1" applyFont="1" applyAlignment="1">
      <alignment horizontal="center"/>
    </xf>
    <xf numFmtId="167" fontId="1" fillId="0" borderId="0" xfId="0" applyNumberFormat="1" applyFont="1" applyAlignment="1">
      <alignment horizontal="center"/>
    </xf>
    <xf numFmtId="168" fontId="1" fillId="0" borderId="0" xfId="0" applyNumberFormat="1" applyFon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0" fontId="0" fillId="0" borderId="0" xfId="0" applyAlignment="1">
      <alignment horizontal="center"/>
    </xf>
    <xf numFmtId="4"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3" fontId="1" fillId="2" borderId="0" xfId="0" applyNumberFormat="1" applyFont="1" applyFill="1" applyAlignment="1">
      <alignment horizontal="center"/>
    </xf>
    <xf numFmtId="164" fontId="1" fillId="2" borderId="0" xfId="0" applyNumberFormat="1" applyFont="1" applyFill="1" applyAlignment="1">
      <alignment horizontal="center"/>
    </xf>
    <xf numFmtId="165" fontId="1" fillId="2" borderId="0" xfId="0" applyNumberFormat="1" applyFont="1" applyFill="1" applyAlignment="1">
      <alignment horizontal="center"/>
    </xf>
    <xf numFmtId="166" fontId="1" fillId="2" borderId="0" xfId="0" applyNumberFormat="1" applyFont="1" applyFill="1" applyAlignment="1">
      <alignment horizontal="center"/>
    </xf>
    <xf numFmtId="0" fontId="1" fillId="2" borderId="0" xfId="0" applyFont="1" applyFill="1" applyAlignment="1">
      <alignment horizontal="center"/>
    </xf>
    <xf numFmtId="4" fontId="1" fillId="2" borderId="0" xfId="0" applyNumberFormat="1" applyFont="1" applyFill="1" applyAlignment="1">
      <alignment horizontal="center"/>
    </xf>
    <xf numFmtId="167" fontId="1" fillId="2" borderId="0" xfId="0" applyNumberFormat="1" applyFont="1" applyFill="1" applyAlignment="1">
      <alignment horizontal="center"/>
    </xf>
    <xf numFmtId="168" fontId="1" fillId="2" borderId="0" xfId="0" applyNumberFormat="1" applyFont="1" applyFill="1" applyAlignment="1">
      <alignment horizontal="center"/>
    </xf>
    <xf numFmtId="3" fontId="2" fillId="0" borderId="0" xfId="0" applyNumberFormat="1" applyFont="1" applyAlignment="1">
      <alignment horizontal="center"/>
    </xf>
    <xf numFmtId="164" fontId="2" fillId="0" borderId="0" xfId="0" applyNumberFormat="1" applyFont="1" applyAlignment="1">
      <alignment horizontal="center"/>
    </xf>
    <xf numFmtId="165" fontId="2" fillId="0" borderId="0" xfId="0" applyNumberFormat="1" applyFont="1" applyAlignment="1">
      <alignment horizontal="center"/>
    </xf>
    <xf numFmtId="166" fontId="2" fillId="0" borderId="0" xfId="0" applyNumberFormat="1" applyFont="1" applyAlignment="1">
      <alignment horizontal="center"/>
    </xf>
    <xf numFmtId="0" fontId="2" fillId="0" borderId="0" xfId="0" applyFont="1" applyAlignment="1">
      <alignment horizontal="center"/>
    </xf>
    <xf numFmtId="4" fontId="2" fillId="0" borderId="0" xfId="0" applyNumberFormat="1" applyFont="1" applyAlignment="1">
      <alignment horizontal="center"/>
    </xf>
    <xf numFmtId="167" fontId="2" fillId="0" borderId="0" xfId="0" applyNumberFormat="1" applyFont="1" applyAlignment="1">
      <alignment horizontal="center"/>
    </xf>
    <xf numFmtId="168" fontId="2" fillId="0" borderId="0" xfId="0" applyNumberFormat="1" applyFont="1" applyAlignment="1">
      <alignment horizontal="center"/>
    </xf>
    <xf numFmtId="0" fontId="0" fillId="0" borderId="1" xfId="0" applyBorder="1" applyAlignment="1">
      <alignment horizontal="center" vertical="center" wrapText="1"/>
    </xf>
    <xf numFmtId="0" fontId="0" fillId="0" borderId="0" xfId="0" applyAlignment="1">
      <alignment horizontal="center" vertical="center" wrapText="1"/>
    </xf>
    <xf numFmtId="0" fontId="4" fillId="0" borderId="0" xfId="0" applyFont="1"/>
    <xf numFmtId="0" fontId="5" fillId="0" borderId="0" xfId="0" applyFont="1"/>
    <xf numFmtId="0" fontId="1" fillId="0" borderId="1" xfId="0" applyFont="1" applyBorder="1"/>
    <xf numFmtId="0" fontId="6" fillId="0" borderId="1" xfId="0" applyFont="1" applyBorder="1" applyAlignment="1">
      <alignment horizontal="center"/>
    </xf>
    <xf numFmtId="0" fontId="1" fillId="0" borderId="1" xfId="0" applyFont="1" applyBorder="1" applyAlignment="1">
      <alignment horizontal="center"/>
    </xf>
    <xf numFmtId="0" fontId="7" fillId="0" borderId="0" xfId="0" applyFont="1"/>
    <xf numFmtId="0" fontId="0" fillId="0" borderId="0" xfId="0" applyAlignment="1">
      <alignment vertical="top" wrapText="1"/>
    </xf>
    <xf numFmtId="0" fontId="1" fillId="2" borderId="0" xfId="0" applyFont="1" applyFill="1"/>
    <xf numFmtId="0" fontId="3" fillId="0" borderId="0" xfId="0" applyFont="1" applyAlignment="1">
      <alignment horizontal="left"/>
    </xf>
    <xf numFmtId="0" fontId="1" fillId="0" borderId="4" xfId="0" applyFont="1" applyBorder="1" applyAlignment="1">
      <alignment horizontal="center"/>
    </xf>
    <xf numFmtId="0" fontId="1" fillId="0" borderId="5" xfId="0" applyFont="1" applyBorder="1" applyAlignment="1">
      <alignment horizontal="center"/>
    </xf>
    <xf numFmtId="170" fontId="0" fillId="0" borderId="0" xfId="0" applyNumberFormat="1" applyAlignment="1">
      <alignment horizontal="center"/>
    </xf>
    <xf numFmtId="171" fontId="0" fillId="0" borderId="0" xfId="0" applyNumberFormat="1" applyAlignment="1">
      <alignment horizontal="center"/>
    </xf>
    <xf numFmtId="2" fontId="0" fillId="0" borderId="0" xfId="0" applyNumberFormat="1" applyAlignment="1">
      <alignment horizontal="center"/>
    </xf>
    <xf numFmtId="0" fontId="1" fillId="0" borderId="3" xfId="0" applyFont="1" applyBorder="1" applyAlignment="1">
      <alignment horizontal="center"/>
    </xf>
    <xf numFmtId="0" fontId="1" fillId="0" borderId="0" xfId="0" applyFont="1" applyAlignment="1">
      <alignment horizontal="center"/>
    </xf>
    <xf numFmtId="0" fontId="1" fillId="0" borderId="0" xfId="0" applyFont="1" applyFill="1" applyAlignment="1">
      <alignment horizontal="center"/>
    </xf>
    <xf numFmtId="0" fontId="1" fillId="0" borderId="3" xfId="0" applyFont="1" applyFill="1" applyBorder="1" applyAlignment="1">
      <alignment horizontal="center"/>
    </xf>
    <xf numFmtId="0" fontId="1" fillId="0" borderId="2" xfId="0" applyFont="1" applyFill="1" applyBorder="1" applyAlignment="1">
      <alignment horizontal="center"/>
    </xf>
    <xf numFmtId="1" fontId="1" fillId="0" borderId="0" xfId="0" applyNumberFormat="1" applyFont="1" applyAlignment="1">
      <alignment horizontal="center"/>
    </xf>
    <xf numFmtId="3" fontId="1" fillId="0" borderId="3" xfId="0" applyNumberFormat="1" applyFont="1" applyBorder="1" applyAlignment="1">
      <alignment horizontal="center"/>
    </xf>
    <xf numFmtId="1" fontId="1" fillId="0" borderId="2" xfId="0" applyNumberFormat="1" applyFont="1" applyBorder="1" applyAlignment="1">
      <alignment horizontal="center"/>
    </xf>
    <xf numFmtId="170" fontId="1" fillId="0" borderId="0" xfId="0" applyNumberFormat="1" applyFont="1" applyAlignment="1">
      <alignment horizontal="center"/>
    </xf>
    <xf numFmtId="170" fontId="1" fillId="0" borderId="3" xfId="0" applyNumberFormat="1" applyFont="1" applyBorder="1" applyAlignment="1">
      <alignment horizontal="center"/>
    </xf>
    <xf numFmtId="167" fontId="1" fillId="0" borderId="3" xfId="0" applyNumberFormat="1" applyFont="1" applyBorder="1" applyAlignment="1">
      <alignment horizontal="center"/>
    </xf>
    <xf numFmtId="171" fontId="1" fillId="0" borderId="0" xfId="0" applyNumberFormat="1" applyFont="1" applyAlignment="1">
      <alignment horizontal="center"/>
    </xf>
    <xf numFmtId="171" fontId="1" fillId="0" borderId="3" xfId="0" applyNumberFormat="1" applyFont="1" applyBorder="1" applyAlignment="1">
      <alignment horizontal="center"/>
    </xf>
    <xf numFmtId="2" fontId="1" fillId="0" borderId="0" xfId="0" applyNumberFormat="1" applyFont="1" applyAlignment="1">
      <alignment horizontal="center"/>
    </xf>
    <xf numFmtId="2" fontId="1" fillId="0" borderId="3" xfId="0" applyNumberFormat="1" applyFont="1" applyBorder="1" applyAlignment="1">
      <alignment horizontal="center"/>
    </xf>
  </cellXfs>
  <cellStyles count="1">
    <cellStyle name="Normal" xfId="0" builtinId="0"/>
  </cellStyles>
  <dxfs count="47">
    <dxf>
      <fill>
        <patternFill patternType="solid">
          <fgColor rgb="FFFFFF00"/>
          <bgColor rgb="FF000000"/>
        </patternFill>
      </fill>
    </dxf>
    <dxf>
      <fill>
        <patternFill patternType="solid">
          <fgColor rgb="FFFFFF00"/>
          <bgColor rgb="FF000000"/>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numFmt numFmtId="165" formatCode="#,##0.0%;\-#,##0.0%;#,##0.0%"/>
      <alignment horizontal="center" vertical="bottom" textRotation="0" wrapText="0" indent="0" justifyLastLine="0" shrinkToFit="0" readingOrder="0"/>
    </dxf>
    <dxf>
      <numFmt numFmtId="168" formatCode="\$#,##0.00;\(\$#,##0.00\);\$#,##0.00"/>
      <alignment horizontal="center" vertical="bottom" textRotation="0" wrapText="0" indent="0" justifyLastLine="0" shrinkToFit="0" readingOrder="0"/>
    </dxf>
    <dxf>
      <numFmt numFmtId="167" formatCode="#,##0.0"/>
      <alignment horizontal="center" vertical="bottom" textRotation="0" wrapText="0" indent="0" justifyLastLine="0" shrinkToFit="0" readingOrder="0"/>
    </dxf>
    <dxf>
      <numFmt numFmtId="167" formatCode="#,##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165" formatCode="#,##0.0%;\-#,##0.0%;#,##0.0%"/>
      <alignment horizontal="center" vertical="bottom" textRotation="0" wrapText="0" indent="0" justifyLastLine="0" shrinkToFit="0" readingOrder="0"/>
    </dxf>
    <dxf>
      <numFmt numFmtId="165" formatCode="#,##0.0%;\-#,##0.0%;#,##0.0%"/>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0.0%;\-#,##0.0%;#,##0.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165" formatCode="#,##0.0%;\-#,##0.0%;#,##0.0%"/>
      <alignment horizontal="center" vertical="bottom" textRotation="0" wrapText="0" indent="0" justifyLastLine="0" shrinkToFit="0" readingOrder="0"/>
    </dxf>
    <dxf>
      <numFmt numFmtId="166" formatCode="0.0%;\-0.0%;0.0%"/>
      <alignment horizontal="center" vertical="bottom" textRotation="0" wrapText="0" indent="0" justifyLastLine="0" shrinkToFit="0" readingOrder="0"/>
    </dxf>
    <dxf>
      <numFmt numFmtId="165" formatCode="#,##0.0%;\-#,##0.0%;#,##0.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164" formatCode="#,##0.00%;\-#,##0.00%;#,##0.0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169" formatCode="[$-F800]dddd\,\ mmmm\ dd\,\ yyyy"/>
    </dxf>
    <dxf>
      <alignment horizontal="general" vertical="top" textRotation="0" wrapText="0" indent="0" justifyLastLine="0" shrinkToFit="0" readingOrder="0"/>
    </dxf>
    <dxf>
      <border outline="0">
        <bottom style="thin">
          <color auto="1"/>
        </bottom>
      </border>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F52E47-D750-42B0-95BB-104E349EF304}" name="Table1" displayName="Table1" ref="A1:S93" totalsRowShown="0" headerRowDxfId="46" headerRowBorderDxfId="45">
  <autoFilter ref="A1:S93" xr:uid="{AFF52E47-D750-42B0-95BB-104E349EF304}"/>
  <sortState xmlns:xlrd2="http://schemas.microsoft.com/office/spreadsheetml/2017/richdata2" ref="A2:S93">
    <sortCondition ref="C1:C93"/>
  </sortState>
  <tableColumns count="19">
    <tableColumn id="1" xr3:uid="{2015A72D-BDCF-4857-8D2C-F382CE9AF9BC}" name="Salon" dataDxfId="44"/>
    <tableColumn id="2" xr3:uid="{6D7471A2-FC92-4EF7-A938-6C272BB7A686}" name="SalonWeekEndingDate" dataDxfId="43"/>
    <tableColumn id="3" xr3:uid="{DE6998C4-B7E1-44EF-B3E2-1CA05238F753}" name="Cust Count" dataDxfId="42"/>
    <tableColumn id="4" xr3:uid="{2F1B5580-0AD0-4766-97B3-1DDB82CF7062}" name="Cust Count Last Year" dataDxfId="41"/>
    <tableColumn id="5" xr3:uid="{46799556-1539-40BC-8812-63CFD4105E28}" name="Cust Count % Change" dataDxfId="40"/>
    <tableColumn id="6" xr3:uid="{23E94B38-9E21-47E0-9ED0-8BA2791A2777}" name="New Cust" dataDxfId="39"/>
    <tableColumn id="7" xr3:uid="{7F912CB8-A5C2-47EF-B6D5-89675AD423FD}" name="New Cust %" dataDxfId="38"/>
    <tableColumn id="8" xr3:uid="{A7F9C672-E9ED-4FA6-8453-2BC7B87A5F0D}" name="Salon New Cust Return %" dataDxfId="37"/>
    <tableColumn id="9" xr3:uid="{F9275D67-6C3D-43A3-AC60-9D194F65000A}" name="Salon Repeat Cust Return %" dataDxfId="36"/>
    <tableColumn id="10" xr3:uid="{5C1D3663-3F1A-4412-89D0-AFF3F83FF15E}" name="Floor Hours" dataDxfId="35"/>
    <tableColumn id="11" xr3:uid="{927823EE-C1F0-4F29-ABE7-4B3D62B4AE57}" name="Sat/Sun Floor Hours %" dataDxfId="34"/>
    <tableColumn id="12" xr3:uid="{A7DEDD40-8423-4A4B-A2A4-ACFDA6655FAA}" name="Floor Hours Growth" dataDxfId="33"/>
    <tableColumn id="13" xr3:uid="{86849DBA-C359-4F54-95AE-B34AD1579484}" name="Wait Times &gt; 15Min %" dataDxfId="32"/>
    <tableColumn id="14" xr3:uid="{34C56DA9-C74C-4D04-96CA-5567138042B3}" name="Sat/Sun Wait Times &gt; 15Min %" dataDxfId="31"/>
    <tableColumn id="15" xr3:uid="{83A75794-07CE-4E43-890B-A1F9E64E1B13}" name="Avg Wait Time" dataDxfId="30"/>
    <tableColumn id="16" xr3:uid="{D814830F-3AAF-4D41-AEA7-21F646667251}" name="Avg HC Time" dataDxfId="29"/>
    <tableColumn id="17" xr3:uid="{3382BB88-D556-4D2A-8C29-7842CA43AB9E}" name="CPH" dataDxfId="28"/>
    <tableColumn id="18" xr3:uid="{3CD72EEF-43ED-479B-BC72-11918B8B5B4A}" name="Productivity" dataDxfId="27"/>
    <tableColumn id="19" xr3:uid="{89683958-6046-4D54-B756-D9C797830D75}" name="Discount %" dataDxfId="26"/>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3505BE2-B4A4-4132-85AE-9DFB4ECD5A5F}">
  <we:reference id="wa200009404" version="1.0.0.8" store="en-US" storeType="OMEX"/>
  <we:alternateReferences>
    <we:reference id="WA200009404" version="1.0.0.8" store="" storeType="OMEX"/>
  </we:alternateReferences>
  <we:properties>
    <we:property name="claude.fileId" value="&quot;00d0e7bd-0206-4f6c-889b-d1385c6236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3"/>
  <sheetViews>
    <sheetView tabSelected="1" workbookViewId="0">
      <selection activeCell="H4" sqref="H4"/>
    </sheetView>
  </sheetViews>
  <sheetFormatPr defaultRowHeight="14.4" x14ac:dyDescent="0.3"/>
  <cols>
    <col min="1" max="1" width="31.33203125" customWidth="1"/>
    <col min="2" max="2" width="21.6640625" customWidth="1"/>
    <col min="3" max="3" width="11.88671875" customWidth="1"/>
    <col min="4" max="4" width="13.109375" customWidth="1"/>
    <col min="5" max="5" width="15.33203125" customWidth="1"/>
    <col min="6" max="6" width="10.6640625" customWidth="1"/>
    <col min="7" max="7" width="12.5546875" customWidth="1"/>
    <col min="8" max="8" width="16.77734375" customWidth="1"/>
    <col min="9" max="9" width="19.21875" customWidth="1"/>
    <col min="10" max="10" width="12.33203125" customWidth="1"/>
    <col min="11" max="11" width="15.6640625" customWidth="1"/>
    <col min="12" max="12" width="16.33203125" customWidth="1"/>
    <col min="13" max="13" width="15.44140625" customWidth="1"/>
    <col min="14" max="14" width="16.77734375" customWidth="1"/>
    <col min="15" max="15" width="14.44140625" customWidth="1"/>
    <col min="16" max="16" width="12.21875" customWidth="1"/>
    <col min="18" max="18" width="13" customWidth="1"/>
    <col min="19" max="19" width="12.109375" customWidth="1"/>
  </cols>
  <sheetData>
    <row r="1" spans="1:19" s="41" customFormat="1" ht="36" customHeight="1" x14ac:dyDescent="0.3">
      <c r="A1" s="40" t="s">
        <v>0</v>
      </c>
      <c r="B1" s="40" t="s">
        <v>1</v>
      </c>
      <c r="C1" s="40" t="s">
        <v>2</v>
      </c>
      <c r="D1" s="40" t="s">
        <v>3</v>
      </c>
      <c r="E1" s="40" t="s">
        <v>4</v>
      </c>
      <c r="F1" s="40" t="s">
        <v>5</v>
      </c>
      <c r="G1" s="40" t="s">
        <v>6</v>
      </c>
      <c r="H1" s="40" t="s">
        <v>7</v>
      </c>
      <c r="I1" s="40" t="s">
        <v>8</v>
      </c>
      <c r="J1" s="40" t="s">
        <v>9</v>
      </c>
      <c r="K1" s="40" t="s">
        <v>10</v>
      </c>
      <c r="L1" s="40" t="s">
        <v>11</v>
      </c>
      <c r="M1" s="40" t="s">
        <v>12</v>
      </c>
      <c r="N1" s="40" t="s">
        <v>13</v>
      </c>
      <c r="O1" s="40" t="s">
        <v>14</v>
      </c>
      <c r="P1" s="40" t="s">
        <v>15</v>
      </c>
      <c r="Q1" s="40" t="s">
        <v>16</v>
      </c>
      <c r="R1" s="40" t="s">
        <v>17</v>
      </c>
      <c r="S1" s="40" t="s">
        <v>18</v>
      </c>
    </row>
    <row r="2" spans="1:19" x14ac:dyDescent="0.3">
      <c r="A2" s="1" t="s">
        <v>29</v>
      </c>
      <c r="B2" s="2">
        <v>46227</v>
      </c>
      <c r="C2" s="16">
        <v>188</v>
      </c>
      <c r="D2" s="16">
        <v>200</v>
      </c>
      <c r="E2" s="17">
        <v>-0.06</v>
      </c>
      <c r="F2" s="16">
        <v>50</v>
      </c>
      <c r="G2" s="18">
        <v>0.26595744680851063</v>
      </c>
      <c r="H2" s="19">
        <v>0.2</v>
      </c>
      <c r="I2" s="18">
        <v>0.70699999999999996</v>
      </c>
      <c r="J2" s="16">
        <v>107.4</v>
      </c>
      <c r="K2" s="18">
        <v>0.313</v>
      </c>
      <c r="L2" s="20">
        <v>-42.609999999999985</v>
      </c>
      <c r="M2" s="18">
        <v>0.19700000000000001</v>
      </c>
      <c r="N2" s="18">
        <v>0.33900000000000002</v>
      </c>
      <c r="O2" s="21">
        <v>6.5473404255319156</v>
      </c>
      <c r="P2" s="22">
        <v>15.183647798742138</v>
      </c>
      <c r="Q2" s="22">
        <v>1.7871865232692639</v>
      </c>
      <c r="R2" s="23">
        <v>36.061452513966479</v>
      </c>
      <c r="S2" s="18">
        <v>2.3495956170101747E-2</v>
      </c>
    </row>
    <row r="3" spans="1:19" x14ac:dyDescent="0.3">
      <c r="A3" s="3" t="s">
        <v>21</v>
      </c>
      <c r="B3" s="4">
        <v>46227</v>
      </c>
      <c r="C3" s="24">
        <v>195</v>
      </c>
      <c r="D3" s="24">
        <v>173</v>
      </c>
      <c r="E3" s="25">
        <v>0.12716763005780346</v>
      </c>
      <c r="F3" s="24">
        <v>30</v>
      </c>
      <c r="G3" s="26">
        <v>0.15384615384615385</v>
      </c>
      <c r="H3" s="27">
        <v>0.188</v>
      </c>
      <c r="I3" s="26">
        <v>0.77500000000000002</v>
      </c>
      <c r="J3" s="24">
        <v>131.84</v>
      </c>
      <c r="K3" s="26">
        <v>0.253</v>
      </c>
      <c r="L3" s="28">
        <v>6.3299999999999983</v>
      </c>
      <c r="M3" s="26">
        <v>8.6999999999999994E-2</v>
      </c>
      <c r="N3" s="26">
        <v>0.15</v>
      </c>
      <c r="O3" s="29">
        <v>3.8025641025641024</v>
      </c>
      <c r="P3" s="30">
        <v>14.122527472527473</v>
      </c>
      <c r="Q3" s="30">
        <v>1.5421956684092606</v>
      </c>
      <c r="R3" s="31">
        <v>31.325849514563107</v>
      </c>
      <c r="S3" s="26">
        <v>4.0226332440983205E-2</v>
      </c>
    </row>
    <row r="4" spans="1:19" x14ac:dyDescent="0.3">
      <c r="A4" s="5" t="s">
        <v>20</v>
      </c>
      <c r="B4" s="6">
        <v>46227</v>
      </c>
      <c r="C4" s="32">
        <v>219</v>
      </c>
      <c r="D4" s="32"/>
      <c r="E4" s="33"/>
      <c r="F4" s="32">
        <v>84</v>
      </c>
      <c r="G4" s="34">
        <v>0.38356164383561642</v>
      </c>
      <c r="H4" s="35">
        <v>0.48899999999999999</v>
      </c>
      <c r="I4" s="34">
        <v>0.66700000000000004</v>
      </c>
      <c r="J4" s="32">
        <v>145.59</v>
      </c>
      <c r="K4" s="34">
        <v>0.23400000000000001</v>
      </c>
      <c r="L4" s="36">
        <v>145.59</v>
      </c>
      <c r="M4" s="34">
        <v>0.13200000000000001</v>
      </c>
      <c r="N4" s="34">
        <v>0.24299999999999999</v>
      </c>
      <c r="O4" s="37">
        <v>5.5657534246575349</v>
      </c>
      <c r="P4" s="38">
        <v>15.314778325123154</v>
      </c>
      <c r="Q4" s="38">
        <v>1.5728689076622246</v>
      </c>
      <c r="R4" s="39">
        <v>31.471941754241364</v>
      </c>
      <c r="S4" s="34">
        <v>0.156882262661697</v>
      </c>
    </row>
    <row r="5" spans="1:19" x14ac:dyDescent="0.3">
      <c r="A5" s="1" t="s">
        <v>24</v>
      </c>
      <c r="B5" s="2">
        <v>46227</v>
      </c>
      <c r="C5" s="16">
        <v>223</v>
      </c>
      <c r="D5" s="16">
        <v>184</v>
      </c>
      <c r="E5" s="17">
        <v>0.21195652173913043</v>
      </c>
      <c r="F5" s="16">
        <v>37</v>
      </c>
      <c r="G5" s="18">
        <v>0.16591928251121077</v>
      </c>
      <c r="H5" s="19">
        <v>0.25</v>
      </c>
      <c r="I5" s="18">
        <v>0.72699999999999998</v>
      </c>
      <c r="J5" s="16">
        <v>123.8</v>
      </c>
      <c r="K5" s="18">
        <v>0.249</v>
      </c>
      <c r="L5" s="20">
        <v>-12.970000000000013</v>
      </c>
      <c r="M5" s="18">
        <v>0.152</v>
      </c>
      <c r="N5" s="18">
        <v>0.28999999999999998</v>
      </c>
      <c r="O5" s="21">
        <v>6.5085201793721978</v>
      </c>
      <c r="P5" s="22">
        <v>14.048309178743962</v>
      </c>
      <c r="Q5" s="22">
        <v>1.8718990742544854</v>
      </c>
      <c r="R5" s="23">
        <v>38.198707592891765</v>
      </c>
      <c r="S5" s="18">
        <v>6.7769084373017555E-2</v>
      </c>
    </row>
    <row r="6" spans="1:19" x14ac:dyDescent="0.3">
      <c r="A6" s="1" t="s">
        <v>28</v>
      </c>
      <c r="B6" s="2">
        <v>46227</v>
      </c>
      <c r="C6" s="16">
        <v>223</v>
      </c>
      <c r="D6" s="16">
        <v>194</v>
      </c>
      <c r="E6" s="17">
        <v>0.14948453608247422</v>
      </c>
      <c r="F6" s="16">
        <v>45</v>
      </c>
      <c r="G6" s="18">
        <v>0.20179372197309417</v>
      </c>
      <c r="H6" s="19">
        <v>0.23300000000000001</v>
      </c>
      <c r="I6" s="18">
        <v>0.67900000000000005</v>
      </c>
      <c r="J6" s="16">
        <v>138.41999999999999</v>
      </c>
      <c r="K6" s="18">
        <v>0.26800000000000002</v>
      </c>
      <c r="L6" s="20">
        <v>-15.79000000000002</v>
      </c>
      <c r="M6" s="18">
        <v>8.1000000000000003E-2</v>
      </c>
      <c r="N6" s="18">
        <v>9.5000000000000001E-2</v>
      </c>
      <c r="O6" s="21">
        <v>3.6636771300448432</v>
      </c>
      <c r="P6" s="22">
        <v>15.919900497512439</v>
      </c>
      <c r="Q6" s="22">
        <v>1.6283885215864042</v>
      </c>
      <c r="R6" s="23">
        <v>33.001011414535476</v>
      </c>
      <c r="S6" s="18">
        <v>5.6057355516637479E-2</v>
      </c>
    </row>
    <row r="7" spans="1:19" x14ac:dyDescent="0.3">
      <c r="A7" s="1" t="s">
        <v>23</v>
      </c>
      <c r="B7" s="2">
        <v>46227</v>
      </c>
      <c r="C7" s="16">
        <v>232</v>
      </c>
      <c r="D7" s="16">
        <v>181</v>
      </c>
      <c r="E7" s="17">
        <v>0.28176795580110497</v>
      </c>
      <c r="F7" s="16">
        <v>41</v>
      </c>
      <c r="G7" s="18">
        <v>0.17672413793103448</v>
      </c>
      <c r="H7" s="19">
        <v>0.13800000000000001</v>
      </c>
      <c r="I7" s="18">
        <v>0.69799999999999995</v>
      </c>
      <c r="J7" s="16">
        <v>145.05000000000001</v>
      </c>
      <c r="K7" s="18">
        <v>0.22800000000000001</v>
      </c>
      <c r="L7" s="20">
        <v>-8.5199999999999818</v>
      </c>
      <c r="M7" s="18">
        <v>0.03</v>
      </c>
      <c r="N7" s="18">
        <v>0</v>
      </c>
      <c r="O7" s="21">
        <v>2.512068965517241</v>
      </c>
      <c r="P7" s="22">
        <v>11.505990783410139</v>
      </c>
      <c r="Q7" s="22">
        <v>1.6366247041851336</v>
      </c>
      <c r="R7" s="23">
        <v>33.07135470527404</v>
      </c>
      <c r="S7" s="18">
        <v>5.4267475931352033E-2</v>
      </c>
    </row>
    <row r="8" spans="1:19" x14ac:dyDescent="0.3">
      <c r="A8" s="3" t="s">
        <v>19</v>
      </c>
      <c r="B8" s="4">
        <v>46227</v>
      </c>
      <c r="C8" s="24">
        <v>245</v>
      </c>
      <c r="D8" s="24"/>
      <c r="E8" s="25"/>
      <c r="F8" s="24">
        <v>73</v>
      </c>
      <c r="G8" s="26">
        <v>0.29795918367346941</v>
      </c>
      <c r="H8" s="27">
        <v>0.31900000000000001</v>
      </c>
      <c r="I8" s="26">
        <v>0.8</v>
      </c>
      <c r="J8" s="24">
        <v>138.80000000000001</v>
      </c>
      <c r="K8" s="26">
        <v>0.245</v>
      </c>
      <c r="L8" s="28">
        <v>138.80000000000001</v>
      </c>
      <c r="M8" s="26">
        <v>0.114</v>
      </c>
      <c r="N8" s="26">
        <v>0.16400000000000001</v>
      </c>
      <c r="O8" s="29">
        <v>5.0583673469387751</v>
      </c>
      <c r="P8" s="30">
        <v>16.733905579399142</v>
      </c>
      <c r="Q8" s="30">
        <v>1.7804207625905981</v>
      </c>
      <c r="R8" s="31">
        <v>35.187319884726222</v>
      </c>
      <c r="S8" s="26">
        <v>0.10047080592105263</v>
      </c>
    </row>
    <row r="9" spans="1:19" x14ac:dyDescent="0.3">
      <c r="A9" s="1" t="s">
        <v>25</v>
      </c>
      <c r="B9" s="2">
        <v>46227</v>
      </c>
      <c r="C9" s="16">
        <v>249</v>
      </c>
      <c r="D9" s="16">
        <v>184</v>
      </c>
      <c r="E9" s="17">
        <v>0.35326086956521741</v>
      </c>
      <c r="F9" s="16">
        <v>64</v>
      </c>
      <c r="G9" s="18">
        <v>0.25702811244979917</v>
      </c>
      <c r="H9" s="19">
        <v>0.29799999999999999</v>
      </c>
      <c r="I9" s="18">
        <v>0.64200000000000002</v>
      </c>
      <c r="J9" s="16">
        <v>134.61000000000001</v>
      </c>
      <c r="K9" s="18">
        <v>0.24099999999999999</v>
      </c>
      <c r="L9" s="20">
        <v>-15.469999999999999</v>
      </c>
      <c r="M9" s="18">
        <v>0.20499999999999999</v>
      </c>
      <c r="N9" s="18">
        <v>0.25800000000000001</v>
      </c>
      <c r="O9" s="21">
        <v>8.1642570281124502</v>
      </c>
      <c r="P9" s="22">
        <v>17.042290748898679</v>
      </c>
      <c r="Q9" s="22">
        <v>1.8963268136735676</v>
      </c>
      <c r="R9" s="23">
        <v>38.719263056236528</v>
      </c>
      <c r="S9" s="18">
        <v>3.876709689847814E-2</v>
      </c>
    </row>
    <row r="10" spans="1:19" x14ac:dyDescent="0.3">
      <c r="A10" s="1" t="s">
        <v>33</v>
      </c>
      <c r="B10" s="2">
        <v>46227</v>
      </c>
      <c r="C10" s="16">
        <v>254</v>
      </c>
      <c r="D10" s="16">
        <v>228</v>
      </c>
      <c r="E10" s="17">
        <v>0.11403508771929824</v>
      </c>
      <c r="F10" s="16">
        <v>57</v>
      </c>
      <c r="G10" s="18">
        <v>0.22440944881889763</v>
      </c>
      <c r="H10" s="19">
        <v>0.13200000000000001</v>
      </c>
      <c r="I10" s="18">
        <v>0.68</v>
      </c>
      <c r="J10" s="16">
        <v>143.59</v>
      </c>
      <c r="K10" s="18">
        <v>0.29399999999999998</v>
      </c>
      <c r="L10" s="20">
        <v>3.8600000000000136</v>
      </c>
      <c r="M10" s="18">
        <v>0.157</v>
      </c>
      <c r="N10" s="18">
        <v>0.128</v>
      </c>
      <c r="O10" s="21">
        <v>6.512992125984252</v>
      </c>
      <c r="P10" s="22">
        <v>16.728138528138526</v>
      </c>
      <c r="Q10" s="22">
        <v>1.7892617651110818</v>
      </c>
      <c r="R10" s="23">
        <v>36.04707848735984</v>
      </c>
      <c r="S10" s="18">
        <v>3.7710587326120558E-2</v>
      </c>
    </row>
    <row r="11" spans="1:19" x14ac:dyDescent="0.3">
      <c r="A11" s="1" t="s">
        <v>45</v>
      </c>
      <c r="B11" s="2">
        <v>46227</v>
      </c>
      <c r="C11" s="16">
        <v>262</v>
      </c>
      <c r="D11" s="16">
        <v>259</v>
      </c>
      <c r="E11" s="17">
        <v>1.1583011583011582E-2</v>
      </c>
      <c r="F11" s="16">
        <v>62</v>
      </c>
      <c r="G11" s="18">
        <v>0.23664122137404581</v>
      </c>
      <c r="H11" s="19">
        <v>0.14299999999999999</v>
      </c>
      <c r="I11" s="18">
        <v>0.627</v>
      </c>
      <c r="J11" s="16">
        <v>162.62</v>
      </c>
      <c r="K11" s="18">
        <v>0.30399999999999999</v>
      </c>
      <c r="L11" s="20">
        <v>-1.7400000000000091</v>
      </c>
      <c r="M11" s="18">
        <v>6.9000000000000006E-2</v>
      </c>
      <c r="N11" s="18">
        <v>9.2999999999999999E-2</v>
      </c>
      <c r="O11" s="21">
        <v>3.8038167938931298</v>
      </c>
      <c r="P11" s="22">
        <v>16.085106382978722</v>
      </c>
      <c r="Q11" s="22">
        <v>1.6534971244392742</v>
      </c>
      <c r="R11" s="23">
        <v>33.421473373508796</v>
      </c>
      <c r="S11" s="18">
        <v>1.1647580347247876E-2</v>
      </c>
    </row>
    <row r="12" spans="1:19" x14ac:dyDescent="0.3">
      <c r="A12" s="1" t="s">
        <v>27</v>
      </c>
      <c r="B12" s="2">
        <v>46227</v>
      </c>
      <c r="C12" s="16">
        <v>267</v>
      </c>
      <c r="D12" s="16">
        <v>191</v>
      </c>
      <c r="E12" s="17">
        <v>0.39790575916230364</v>
      </c>
      <c r="F12" s="16">
        <v>51</v>
      </c>
      <c r="G12" s="18">
        <v>0.19101123595505617</v>
      </c>
      <c r="H12" s="19">
        <v>0.25</v>
      </c>
      <c r="I12" s="18">
        <v>0.79300000000000004</v>
      </c>
      <c r="J12" s="16">
        <v>163.58000000000001</v>
      </c>
      <c r="K12" s="18">
        <v>0.30099999999999999</v>
      </c>
      <c r="L12" s="20">
        <v>9.7600000000000193</v>
      </c>
      <c r="M12" s="18">
        <v>8.5999999999999993E-2</v>
      </c>
      <c r="N12" s="18">
        <v>0.13800000000000001</v>
      </c>
      <c r="O12" s="21">
        <v>3.7146067415730335</v>
      </c>
      <c r="P12" s="22">
        <v>16.3</v>
      </c>
      <c r="Q12" s="22">
        <v>1.6724922459252209</v>
      </c>
      <c r="R12" s="23">
        <v>35.774544565350283</v>
      </c>
      <c r="S12" s="18">
        <v>2.3098086124401913E-2</v>
      </c>
    </row>
    <row r="13" spans="1:19" x14ac:dyDescent="0.3">
      <c r="A13" s="1" t="s">
        <v>54</v>
      </c>
      <c r="B13" s="2">
        <v>46227</v>
      </c>
      <c r="C13" s="16">
        <v>269</v>
      </c>
      <c r="D13" s="16">
        <v>288</v>
      </c>
      <c r="E13" s="17">
        <v>-6.5972222222222224E-2</v>
      </c>
      <c r="F13" s="16">
        <v>66</v>
      </c>
      <c r="G13" s="18">
        <v>0.24535315985130113</v>
      </c>
      <c r="H13" s="19">
        <v>0.19</v>
      </c>
      <c r="I13" s="18">
        <v>0.67700000000000005</v>
      </c>
      <c r="J13" s="16">
        <v>163.9</v>
      </c>
      <c r="K13" s="18">
        <v>0.25700000000000001</v>
      </c>
      <c r="L13" s="20">
        <v>-49.199999999999989</v>
      </c>
      <c r="M13" s="18">
        <v>0.17799999999999999</v>
      </c>
      <c r="N13" s="18">
        <v>0.154</v>
      </c>
      <c r="O13" s="21">
        <v>7.3475836431226762</v>
      </c>
      <c r="P13" s="22">
        <v>18.996825396825397</v>
      </c>
      <c r="Q13" s="22">
        <v>1.6462970952511249</v>
      </c>
      <c r="R13" s="23">
        <v>31.702257474069555</v>
      </c>
      <c r="S13" s="18">
        <v>6.4403244495944381E-2</v>
      </c>
    </row>
    <row r="14" spans="1:19" x14ac:dyDescent="0.3">
      <c r="A14" s="1" t="s">
        <v>40</v>
      </c>
      <c r="B14" s="2">
        <v>46227</v>
      </c>
      <c r="C14" s="16">
        <v>272</v>
      </c>
      <c r="D14" s="16">
        <v>246</v>
      </c>
      <c r="E14" s="17">
        <v>0.10569105691056911</v>
      </c>
      <c r="F14" s="16">
        <v>76</v>
      </c>
      <c r="G14" s="18">
        <v>0.27941176470588236</v>
      </c>
      <c r="H14" s="19">
        <v>0.23699999999999999</v>
      </c>
      <c r="I14" s="18">
        <v>0.65100000000000002</v>
      </c>
      <c r="J14" s="16">
        <v>169.73</v>
      </c>
      <c r="K14" s="18">
        <v>0.314</v>
      </c>
      <c r="L14" s="20">
        <v>13.289999999999992</v>
      </c>
      <c r="M14" s="18">
        <v>6.3E-2</v>
      </c>
      <c r="N14" s="18">
        <v>2.7E-2</v>
      </c>
      <c r="O14" s="21">
        <v>3.1393382352941175</v>
      </c>
      <c r="P14" s="22">
        <v>17.092653061224489</v>
      </c>
      <c r="Q14" s="22">
        <v>1.5987784239849823</v>
      </c>
      <c r="R14" s="23">
        <v>32.45154068226006</v>
      </c>
      <c r="S14" s="18">
        <v>3.6339869281045753E-2</v>
      </c>
    </row>
    <row r="15" spans="1:19" x14ac:dyDescent="0.3">
      <c r="A15" s="1" t="s">
        <v>31</v>
      </c>
      <c r="B15" s="2">
        <v>46227</v>
      </c>
      <c r="C15" s="16">
        <v>273</v>
      </c>
      <c r="D15" s="16">
        <v>223</v>
      </c>
      <c r="E15" s="17">
        <v>0.22421524663677131</v>
      </c>
      <c r="F15" s="16">
        <v>61</v>
      </c>
      <c r="G15" s="18">
        <v>0.22344322344322345</v>
      </c>
      <c r="H15" s="19">
        <v>0.17599999999999999</v>
      </c>
      <c r="I15" s="18">
        <v>0.65300000000000002</v>
      </c>
      <c r="J15" s="16">
        <v>160.16999999999999</v>
      </c>
      <c r="K15" s="18">
        <v>0.23699999999999999</v>
      </c>
      <c r="L15" s="20">
        <v>-1.2199999999999989</v>
      </c>
      <c r="M15" s="18">
        <v>0.13200000000000001</v>
      </c>
      <c r="N15" s="18">
        <v>0.13600000000000001</v>
      </c>
      <c r="O15" s="21">
        <v>5.8633699633699639</v>
      </c>
      <c r="P15" s="22">
        <v>15.092857142857143</v>
      </c>
      <c r="Q15" s="22">
        <v>1.7392883488497595</v>
      </c>
      <c r="R15" s="23">
        <v>34.86920147343448</v>
      </c>
      <c r="S15" s="18">
        <v>4.5679235071261051E-2</v>
      </c>
    </row>
    <row r="16" spans="1:19" x14ac:dyDescent="0.3">
      <c r="A16" s="1" t="s">
        <v>39</v>
      </c>
      <c r="B16" s="2">
        <v>46227</v>
      </c>
      <c r="C16" s="16">
        <v>273</v>
      </c>
      <c r="D16" s="16">
        <v>244</v>
      </c>
      <c r="E16" s="17">
        <v>0.11885245901639344</v>
      </c>
      <c r="F16" s="16">
        <v>48</v>
      </c>
      <c r="G16" s="18">
        <v>0.17582417582417584</v>
      </c>
      <c r="H16" s="19">
        <v>0.17399999999999999</v>
      </c>
      <c r="I16" s="18">
        <v>0.66500000000000004</v>
      </c>
      <c r="J16" s="16">
        <v>163.84</v>
      </c>
      <c r="K16" s="18">
        <v>0.24399999999999999</v>
      </c>
      <c r="L16" s="20">
        <v>-22.53</v>
      </c>
      <c r="M16" s="18">
        <v>0.106</v>
      </c>
      <c r="N16" s="18">
        <v>0.17299999999999999</v>
      </c>
      <c r="O16" s="21">
        <v>5.0967032967032972</v>
      </c>
      <c r="P16" s="22">
        <v>16.520676691729324</v>
      </c>
      <c r="Q16" s="22">
        <v>1.6758725668952859</v>
      </c>
      <c r="R16" s="23">
        <v>31.890869140625</v>
      </c>
      <c r="S16" s="18">
        <v>2.7982775119617227E-2</v>
      </c>
    </row>
    <row r="17" spans="1:19" x14ac:dyDescent="0.3">
      <c r="A17" s="1" t="s">
        <v>35</v>
      </c>
      <c r="B17" s="2">
        <v>46227</v>
      </c>
      <c r="C17" s="16">
        <v>280</v>
      </c>
      <c r="D17" s="16">
        <v>235</v>
      </c>
      <c r="E17" s="17">
        <v>0.19148936170212766</v>
      </c>
      <c r="F17" s="16">
        <v>69</v>
      </c>
      <c r="G17" s="18">
        <v>0.24642857142857144</v>
      </c>
      <c r="H17" s="19">
        <v>0.224</v>
      </c>
      <c r="I17" s="18">
        <v>0.749</v>
      </c>
      <c r="J17" s="16">
        <v>156.71</v>
      </c>
      <c r="K17" s="18">
        <v>0.29099999999999998</v>
      </c>
      <c r="L17" s="20">
        <v>4.0300000000000011</v>
      </c>
      <c r="M17" s="18">
        <v>8.8999999999999996E-2</v>
      </c>
      <c r="N17" s="18">
        <v>0.05</v>
      </c>
      <c r="O17" s="21">
        <v>3.9857142857142858</v>
      </c>
      <c r="P17" s="22">
        <v>14.788671875</v>
      </c>
      <c r="Q17" s="22">
        <v>1.8482216030755809</v>
      </c>
      <c r="R17" s="23">
        <v>37.827834854189263</v>
      </c>
      <c r="S17" s="18">
        <v>3.2250337381916329E-2</v>
      </c>
    </row>
    <row r="18" spans="1:19" x14ac:dyDescent="0.3">
      <c r="A18" s="1" t="s">
        <v>44</v>
      </c>
      <c r="B18" s="2">
        <v>46227</v>
      </c>
      <c r="C18" s="16">
        <v>281</v>
      </c>
      <c r="D18" s="16">
        <v>255</v>
      </c>
      <c r="E18" s="17">
        <v>0.10196078431372549</v>
      </c>
      <c r="F18" s="16">
        <v>27</v>
      </c>
      <c r="G18" s="18">
        <v>9.6085409252669035E-2</v>
      </c>
      <c r="H18" s="19">
        <v>0.34599999999999997</v>
      </c>
      <c r="I18" s="18">
        <v>0.79200000000000004</v>
      </c>
      <c r="J18" s="16">
        <v>153.52000000000001</v>
      </c>
      <c r="K18" s="18">
        <v>0.28499999999999998</v>
      </c>
      <c r="L18" s="20">
        <v>13.820000000000022</v>
      </c>
      <c r="M18" s="18">
        <v>5.2999999999999999E-2</v>
      </c>
      <c r="N18" s="18">
        <v>6.7000000000000004E-2</v>
      </c>
      <c r="O18" s="21">
        <v>2.7213523131672601</v>
      </c>
      <c r="P18" s="22">
        <v>15.723985239852398</v>
      </c>
      <c r="Q18" s="22">
        <v>1.8415309201246246</v>
      </c>
      <c r="R18" s="23">
        <v>39.011203751954142</v>
      </c>
      <c r="S18" s="18">
        <v>3.7939555852396056E-2</v>
      </c>
    </row>
    <row r="19" spans="1:19" x14ac:dyDescent="0.3">
      <c r="A19" s="1" t="s">
        <v>38</v>
      </c>
      <c r="B19" s="2">
        <v>46227</v>
      </c>
      <c r="C19" s="16">
        <v>287</v>
      </c>
      <c r="D19" s="16">
        <v>239</v>
      </c>
      <c r="E19" s="17">
        <v>0.20083682008368201</v>
      </c>
      <c r="F19" s="16">
        <v>70</v>
      </c>
      <c r="G19" s="18">
        <v>0.24390243902439024</v>
      </c>
      <c r="H19" s="19">
        <v>0.2</v>
      </c>
      <c r="I19" s="18">
        <v>0.746</v>
      </c>
      <c r="J19" s="16">
        <v>145.12</v>
      </c>
      <c r="K19" s="18">
        <v>0.26400000000000001</v>
      </c>
      <c r="L19" s="20">
        <v>-7.8799999999999955</v>
      </c>
      <c r="M19" s="18">
        <v>0.24399999999999999</v>
      </c>
      <c r="N19" s="18">
        <v>0.16500000000000001</v>
      </c>
      <c r="O19" s="21">
        <v>9.8926829268292682</v>
      </c>
      <c r="P19" s="22">
        <v>16.812734082397004</v>
      </c>
      <c r="Q19" s="22">
        <v>2.0362343654089319</v>
      </c>
      <c r="R19" s="23">
        <v>42.661245865490628</v>
      </c>
      <c r="S19" s="18">
        <v>5.8579996757983463E-2</v>
      </c>
    </row>
    <row r="20" spans="1:19" x14ac:dyDescent="0.3">
      <c r="A20" s="1" t="s">
        <v>36</v>
      </c>
      <c r="B20" s="2">
        <v>46227</v>
      </c>
      <c r="C20" s="16">
        <v>298</v>
      </c>
      <c r="D20" s="16">
        <v>236</v>
      </c>
      <c r="E20" s="17">
        <v>0.26271186440677968</v>
      </c>
      <c r="F20" s="16">
        <v>42</v>
      </c>
      <c r="G20" s="18">
        <v>0.14093959731543623</v>
      </c>
      <c r="H20" s="19">
        <v>0.185</v>
      </c>
      <c r="I20" s="18">
        <v>0.73899999999999999</v>
      </c>
      <c r="J20" s="16">
        <v>155.75</v>
      </c>
      <c r="K20" s="18">
        <v>0.27100000000000002</v>
      </c>
      <c r="L20" s="20">
        <v>7.4399999999999977</v>
      </c>
      <c r="M20" s="18">
        <v>0.14799999999999999</v>
      </c>
      <c r="N20" s="18">
        <v>0.17599999999999999</v>
      </c>
      <c r="O20" s="21">
        <v>5.9335570469798657</v>
      </c>
      <c r="P20" s="22">
        <v>15.498518518518519</v>
      </c>
      <c r="Q20" s="22">
        <v>2.0158809195634553</v>
      </c>
      <c r="R20" s="23">
        <v>32.80898876404494</v>
      </c>
      <c r="S20" s="18">
        <v>1.8820412168792933E-2</v>
      </c>
    </row>
    <row r="21" spans="1:19" x14ac:dyDescent="0.3">
      <c r="A21" s="1" t="s">
        <v>71</v>
      </c>
      <c r="B21" s="2">
        <v>46227</v>
      </c>
      <c r="C21" s="16">
        <v>300</v>
      </c>
      <c r="D21" s="16">
        <v>325</v>
      </c>
      <c r="E21" s="17">
        <v>-7.6923076923076927E-2</v>
      </c>
      <c r="F21" s="16">
        <v>53</v>
      </c>
      <c r="G21" s="18">
        <v>0.17666666666666667</v>
      </c>
      <c r="H21" s="19">
        <v>0.27300000000000002</v>
      </c>
      <c r="I21" s="18">
        <v>0.76500000000000001</v>
      </c>
      <c r="J21" s="16">
        <v>162.30000000000001</v>
      </c>
      <c r="K21" s="18">
        <v>0.25800000000000001</v>
      </c>
      <c r="L21" s="20">
        <v>-11.099999999999994</v>
      </c>
      <c r="M21" s="18">
        <v>4.7E-2</v>
      </c>
      <c r="N21" s="18">
        <v>0.114</v>
      </c>
      <c r="O21" s="21">
        <v>3.3343333333333334</v>
      </c>
      <c r="P21" s="22">
        <v>13.87438596491228</v>
      </c>
      <c r="Q21" s="22">
        <v>1.866457154682277</v>
      </c>
      <c r="R21" s="23">
        <v>40.147874306839185</v>
      </c>
      <c r="S21" s="18">
        <v>3.7332719459791282E-2</v>
      </c>
    </row>
    <row r="22" spans="1:19" x14ac:dyDescent="0.3">
      <c r="A22" s="1" t="s">
        <v>56</v>
      </c>
      <c r="B22" s="2">
        <v>46227</v>
      </c>
      <c r="C22" s="16">
        <v>300</v>
      </c>
      <c r="D22" s="16">
        <v>292</v>
      </c>
      <c r="E22" s="17">
        <v>2.7397260273972601E-2</v>
      </c>
      <c r="F22" s="16">
        <v>48</v>
      </c>
      <c r="G22" s="18">
        <v>0.16</v>
      </c>
      <c r="H22" s="19">
        <v>0.23400000000000001</v>
      </c>
      <c r="I22" s="18">
        <v>0.80500000000000005</v>
      </c>
      <c r="J22" s="16">
        <v>145.96</v>
      </c>
      <c r="K22" s="18">
        <v>0.247</v>
      </c>
      <c r="L22" s="20">
        <v>-15.20999999999998</v>
      </c>
      <c r="M22" s="18">
        <v>0.123</v>
      </c>
      <c r="N22" s="18">
        <v>0.11</v>
      </c>
      <c r="O22" s="21">
        <v>4.5283333333333333</v>
      </c>
      <c r="P22" s="22">
        <v>14.190940766550524</v>
      </c>
      <c r="Q22" s="22">
        <v>2.1018802492221882</v>
      </c>
      <c r="R22" s="23">
        <v>43.977802137571935</v>
      </c>
      <c r="S22" s="18">
        <v>4.4449291166848419E-2</v>
      </c>
    </row>
    <row r="23" spans="1:19" x14ac:dyDescent="0.3">
      <c r="A23" s="1" t="s">
        <v>46</v>
      </c>
      <c r="B23" s="2">
        <v>46227</v>
      </c>
      <c r="C23" s="16">
        <v>301</v>
      </c>
      <c r="D23" s="16">
        <v>260</v>
      </c>
      <c r="E23" s="17">
        <v>0.15769230769230769</v>
      </c>
      <c r="F23" s="16">
        <v>44</v>
      </c>
      <c r="G23" s="18">
        <v>0.1461794019933555</v>
      </c>
      <c r="H23" s="19">
        <v>0.23100000000000001</v>
      </c>
      <c r="I23" s="18">
        <v>0.65200000000000002</v>
      </c>
      <c r="J23" s="16">
        <v>162.38</v>
      </c>
      <c r="K23" s="18">
        <v>0.25600000000000001</v>
      </c>
      <c r="L23" s="20">
        <v>21.049999999999983</v>
      </c>
      <c r="M23" s="18">
        <v>0.106</v>
      </c>
      <c r="N23" s="18">
        <v>6.8000000000000005E-2</v>
      </c>
      <c r="O23" s="21">
        <v>4.4750830564784057</v>
      </c>
      <c r="P23" s="22">
        <v>16.258536585365853</v>
      </c>
      <c r="Q23" s="22">
        <v>1.8918197209471947</v>
      </c>
      <c r="R23" s="23">
        <v>38.871782239192022</v>
      </c>
      <c r="S23" s="18">
        <v>3.7910329531051966E-2</v>
      </c>
    </row>
    <row r="24" spans="1:19" x14ac:dyDescent="0.3">
      <c r="A24" s="1" t="s">
        <v>30</v>
      </c>
      <c r="B24" s="2">
        <v>46227</v>
      </c>
      <c r="C24" s="16">
        <v>301</v>
      </c>
      <c r="D24" s="16">
        <v>203</v>
      </c>
      <c r="E24" s="17">
        <v>0.48275862068965519</v>
      </c>
      <c r="F24" s="16">
        <v>55</v>
      </c>
      <c r="G24" s="18">
        <v>0.18272425249169436</v>
      </c>
      <c r="H24" s="19">
        <v>0.29599999999999999</v>
      </c>
      <c r="I24" s="18">
        <v>0.72799999999999998</v>
      </c>
      <c r="J24" s="16">
        <v>150.43</v>
      </c>
      <c r="K24" s="18">
        <v>0.26700000000000002</v>
      </c>
      <c r="L24" s="20">
        <v>-3.9899999999999807</v>
      </c>
      <c r="M24" s="18">
        <v>6.3E-2</v>
      </c>
      <c r="N24" s="18">
        <v>3.5000000000000003E-2</v>
      </c>
      <c r="O24" s="21">
        <v>3.7182724252491695</v>
      </c>
      <c r="P24" s="22">
        <v>13.356140350877194</v>
      </c>
      <c r="Q24" s="22">
        <v>2.0454895035755611</v>
      </c>
      <c r="R24" s="23">
        <v>43.216113807086352</v>
      </c>
      <c r="S24" s="18">
        <v>3.1214693625559502E-2</v>
      </c>
    </row>
    <row r="25" spans="1:19" x14ac:dyDescent="0.3">
      <c r="A25" s="1" t="s">
        <v>61</v>
      </c>
      <c r="B25" s="2">
        <v>46227</v>
      </c>
      <c r="C25" s="16">
        <v>301</v>
      </c>
      <c r="D25" s="16">
        <v>298</v>
      </c>
      <c r="E25" s="17">
        <v>1.0067114093959731E-2</v>
      </c>
      <c r="F25" s="16">
        <v>55</v>
      </c>
      <c r="G25" s="18">
        <v>0.18272425249169436</v>
      </c>
      <c r="H25" s="19">
        <v>0.21299999999999999</v>
      </c>
      <c r="I25" s="18">
        <v>0.69699999999999995</v>
      </c>
      <c r="J25" s="16">
        <v>150.83000000000001</v>
      </c>
      <c r="K25" s="18">
        <v>0.27400000000000002</v>
      </c>
      <c r="L25" s="20">
        <v>-45.109999999999985</v>
      </c>
      <c r="M25" s="18">
        <v>0.16300000000000001</v>
      </c>
      <c r="N25" s="18">
        <v>0.24199999999999999</v>
      </c>
      <c r="O25" s="21">
        <v>6.9574750830564778</v>
      </c>
      <c r="P25" s="22">
        <v>16.34981684981685</v>
      </c>
      <c r="Q25" s="22">
        <v>2.0564320373104827</v>
      </c>
      <c r="R25" s="23">
        <v>43.711463236756607</v>
      </c>
      <c r="S25" s="18">
        <v>7.1648718337630826E-2</v>
      </c>
    </row>
    <row r="26" spans="1:19" x14ac:dyDescent="0.3">
      <c r="A26" s="1" t="s">
        <v>26</v>
      </c>
      <c r="B26" s="2">
        <v>46227</v>
      </c>
      <c r="C26" s="16">
        <v>306</v>
      </c>
      <c r="D26" s="16">
        <v>188</v>
      </c>
      <c r="E26" s="17">
        <v>0.62765957446808507</v>
      </c>
      <c r="F26" s="16">
        <v>101</v>
      </c>
      <c r="G26" s="18">
        <v>0.33006535947712418</v>
      </c>
      <c r="H26" s="19">
        <v>0.21099999999999999</v>
      </c>
      <c r="I26" s="18">
        <v>0.68600000000000005</v>
      </c>
      <c r="J26" s="16">
        <v>156.53</v>
      </c>
      <c r="K26" s="18">
        <v>0.23499999999999999</v>
      </c>
      <c r="L26" s="20">
        <v>21.610000000000014</v>
      </c>
      <c r="M26" s="18">
        <v>0.10100000000000001</v>
      </c>
      <c r="N26" s="18">
        <v>5.2999999999999999E-2</v>
      </c>
      <c r="O26" s="21">
        <v>5.4947712418300654</v>
      </c>
      <c r="P26" s="22">
        <v>15.041638225255973</v>
      </c>
      <c r="Q26" s="22">
        <v>1.9734932031502517</v>
      </c>
      <c r="R26" s="23">
        <v>38.535743946847248</v>
      </c>
      <c r="S26" s="18">
        <v>3.5998010610079574E-2</v>
      </c>
    </row>
    <row r="27" spans="1:19" x14ac:dyDescent="0.3">
      <c r="A27" s="1" t="s">
        <v>65</v>
      </c>
      <c r="B27" s="2">
        <v>46227</v>
      </c>
      <c r="C27" s="16">
        <v>308</v>
      </c>
      <c r="D27" s="16">
        <v>308</v>
      </c>
      <c r="E27" s="17">
        <v>0</v>
      </c>
      <c r="F27" s="16">
        <v>45</v>
      </c>
      <c r="G27" s="18">
        <v>0.1461038961038961</v>
      </c>
      <c r="H27" s="19">
        <v>0.26</v>
      </c>
      <c r="I27" s="18">
        <v>0.63900000000000001</v>
      </c>
      <c r="J27" s="16">
        <v>146.13999999999999</v>
      </c>
      <c r="K27" s="18">
        <v>0.26100000000000001</v>
      </c>
      <c r="L27" s="20">
        <v>-6.460000000000008</v>
      </c>
      <c r="M27" s="18">
        <v>0.10100000000000001</v>
      </c>
      <c r="N27" s="18">
        <v>0</v>
      </c>
      <c r="O27" s="21">
        <v>4.7561688311688313</v>
      </c>
      <c r="P27" s="22">
        <v>12.854325259515571</v>
      </c>
      <c r="Q27" s="22">
        <v>2.1218156157255654</v>
      </c>
      <c r="R27" s="23">
        <v>39.770083481592998</v>
      </c>
      <c r="S27" s="18">
        <v>3.0590469613259671E-2</v>
      </c>
    </row>
    <row r="28" spans="1:19" x14ac:dyDescent="0.3">
      <c r="A28" s="1" t="s">
        <v>42</v>
      </c>
      <c r="B28" s="2">
        <v>46227</v>
      </c>
      <c r="C28" s="16">
        <v>309</v>
      </c>
      <c r="D28" s="16">
        <v>251</v>
      </c>
      <c r="E28" s="17">
        <v>0.23107569721115537</v>
      </c>
      <c r="F28" s="16">
        <v>61</v>
      </c>
      <c r="G28" s="18">
        <v>0.19741100323624594</v>
      </c>
      <c r="H28" s="19">
        <v>0.22900000000000001</v>
      </c>
      <c r="I28" s="18">
        <v>0.71</v>
      </c>
      <c r="J28" s="16">
        <v>153.88999999999999</v>
      </c>
      <c r="K28" s="18">
        <v>0.24199999999999999</v>
      </c>
      <c r="L28" s="20">
        <v>1.6999999999999886</v>
      </c>
      <c r="M28" s="18">
        <v>7.8E-2</v>
      </c>
      <c r="N28" s="18">
        <v>6.0999999999999999E-2</v>
      </c>
      <c r="O28" s="21">
        <v>3.4954692556634299</v>
      </c>
      <c r="P28" s="22">
        <v>13.934693877551021</v>
      </c>
      <c r="Q28" s="22">
        <v>2.0472941907536253</v>
      </c>
      <c r="R28" s="23">
        <v>42.744817726947822</v>
      </c>
      <c r="S28" s="18">
        <v>3.5567419158023188E-2</v>
      </c>
    </row>
    <row r="29" spans="1:19" x14ac:dyDescent="0.3">
      <c r="A29" s="1" t="s">
        <v>41</v>
      </c>
      <c r="B29" s="2">
        <v>46227</v>
      </c>
      <c r="C29" s="16">
        <v>311</v>
      </c>
      <c r="D29" s="16">
        <v>250</v>
      </c>
      <c r="E29" s="17">
        <v>0.24399999999999999</v>
      </c>
      <c r="F29" s="16">
        <v>59</v>
      </c>
      <c r="G29" s="18">
        <v>0.18971061093247588</v>
      </c>
      <c r="H29" s="19">
        <v>0.129</v>
      </c>
      <c r="I29" s="18">
        <v>0.71599999999999997</v>
      </c>
      <c r="J29" s="16">
        <v>167.45</v>
      </c>
      <c r="K29" s="18">
        <v>0.25800000000000001</v>
      </c>
      <c r="L29" s="20">
        <v>3.5600000000000023</v>
      </c>
      <c r="M29" s="18">
        <v>0.11600000000000001</v>
      </c>
      <c r="N29" s="18">
        <v>9.8000000000000004E-2</v>
      </c>
      <c r="O29" s="21">
        <v>5.5810289389067522</v>
      </c>
      <c r="P29" s="22">
        <v>14.379999999999999</v>
      </c>
      <c r="Q29" s="22">
        <v>1.900606622558187</v>
      </c>
      <c r="R29" s="23">
        <v>32.099134069871603</v>
      </c>
      <c r="S29" s="18">
        <v>3.4543255813953483E-2</v>
      </c>
    </row>
    <row r="30" spans="1:19" x14ac:dyDescent="0.3">
      <c r="A30" s="1" t="s">
        <v>50</v>
      </c>
      <c r="B30" s="2">
        <v>46227</v>
      </c>
      <c r="C30" s="16">
        <v>317</v>
      </c>
      <c r="D30" s="16">
        <v>272</v>
      </c>
      <c r="E30" s="17">
        <v>0.16544117647058823</v>
      </c>
      <c r="F30" s="16">
        <v>60</v>
      </c>
      <c r="G30" s="18">
        <v>0.1892744479495268</v>
      </c>
      <c r="H30" s="19">
        <v>0.186</v>
      </c>
      <c r="I30" s="18">
        <v>0.61699999999999999</v>
      </c>
      <c r="J30" s="16">
        <v>148.47999999999999</v>
      </c>
      <c r="K30" s="18">
        <v>0.20799999999999999</v>
      </c>
      <c r="L30" s="20">
        <v>-18.010000000000019</v>
      </c>
      <c r="M30" s="18">
        <v>7.9000000000000001E-2</v>
      </c>
      <c r="N30" s="18">
        <v>0.123</v>
      </c>
      <c r="O30" s="21">
        <v>3.4082018927444797</v>
      </c>
      <c r="P30" s="22">
        <v>13.736148648648649</v>
      </c>
      <c r="Q30" s="22">
        <v>2.1385778239485833</v>
      </c>
      <c r="R30" s="23">
        <v>42.62526939655173</v>
      </c>
      <c r="S30" s="18">
        <v>4.0336546057829041E-2</v>
      </c>
    </row>
    <row r="31" spans="1:19" x14ac:dyDescent="0.3">
      <c r="A31" s="1" t="s">
        <v>70</v>
      </c>
      <c r="B31" s="2">
        <v>46227</v>
      </c>
      <c r="C31" s="16">
        <v>318</v>
      </c>
      <c r="D31" s="16">
        <v>325</v>
      </c>
      <c r="E31" s="17">
        <v>-2.1538461538461538E-2</v>
      </c>
      <c r="F31" s="16">
        <v>45</v>
      </c>
      <c r="G31" s="18">
        <v>0.14150943396226415</v>
      </c>
      <c r="H31" s="19">
        <v>0.28299999999999997</v>
      </c>
      <c r="I31" s="18">
        <v>0.745</v>
      </c>
      <c r="J31" s="16">
        <v>155.44999999999999</v>
      </c>
      <c r="K31" s="18">
        <v>0.26300000000000001</v>
      </c>
      <c r="L31" s="20">
        <v>-12.75</v>
      </c>
      <c r="M31" s="18">
        <v>5.7000000000000002E-2</v>
      </c>
      <c r="N31" s="18">
        <v>3.5000000000000003E-2</v>
      </c>
      <c r="O31" s="21">
        <v>2.3603773584905663</v>
      </c>
      <c r="P31" s="22">
        <v>15.239464882943144</v>
      </c>
      <c r="Q31" s="22">
        <v>2.0826596379278466</v>
      </c>
      <c r="R31" s="23">
        <v>42.315857188806696</v>
      </c>
      <c r="S31" s="18">
        <v>4.85557920340529E-2</v>
      </c>
    </row>
    <row r="32" spans="1:19" x14ac:dyDescent="0.3">
      <c r="A32" s="1" t="s">
        <v>58</v>
      </c>
      <c r="B32" s="2">
        <v>46227</v>
      </c>
      <c r="C32" s="16">
        <v>318</v>
      </c>
      <c r="D32" s="16">
        <v>295</v>
      </c>
      <c r="E32" s="17">
        <v>7.796610169491526E-2</v>
      </c>
      <c r="F32" s="16">
        <v>44</v>
      </c>
      <c r="G32" s="18">
        <v>0.13836477987421383</v>
      </c>
      <c r="H32" s="19">
        <v>0.30399999999999999</v>
      </c>
      <c r="I32" s="18">
        <v>0.71</v>
      </c>
      <c r="J32" s="16">
        <v>149.77000000000001</v>
      </c>
      <c r="K32" s="18">
        <v>0.32400000000000001</v>
      </c>
      <c r="L32" s="20">
        <v>-29.109999999999985</v>
      </c>
      <c r="M32" s="18">
        <v>6.6000000000000003E-2</v>
      </c>
      <c r="N32" s="18">
        <v>0.02</v>
      </c>
      <c r="O32" s="21">
        <v>2.9270440251572327</v>
      </c>
      <c r="P32" s="22">
        <v>14.932142857142859</v>
      </c>
      <c r="Q32" s="22">
        <v>2.1563782065280668</v>
      </c>
      <c r="R32" s="23">
        <v>45.943780463377173</v>
      </c>
      <c r="S32" s="18">
        <v>3.9412876035459961E-2</v>
      </c>
    </row>
    <row r="33" spans="1:19" x14ac:dyDescent="0.3">
      <c r="A33" s="1" t="s">
        <v>37</v>
      </c>
      <c r="B33" s="2">
        <v>46227</v>
      </c>
      <c r="C33" s="16">
        <v>326</v>
      </c>
      <c r="D33" s="16">
        <v>238</v>
      </c>
      <c r="E33" s="17">
        <v>0.36974789915966388</v>
      </c>
      <c r="F33" s="16">
        <v>70</v>
      </c>
      <c r="G33" s="18">
        <v>0.21472392638036811</v>
      </c>
      <c r="H33" s="19">
        <v>0.191</v>
      </c>
      <c r="I33" s="18">
        <v>0.71599999999999997</v>
      </c>
      <c r="J33" s="16">
        <v>153.75</v>
      </c>
      <c r="K33" s="18">
        <v>0.246</v>
      </c>
      <c r="L33" s="20">
        <v>0.40999999999999659</v>
      </c>
      <c r="M33" s="18">
        <v>0.126</v>
      </c>
      <c r="N33" s="18">
        <v>0.128</v>
      </c>
      <c r="O33" s="21">
        <v>6.1269938650306752</v>
      </c>
      <c r="P33" s="22">
        <v>15.635806451612904</v>
      </c>
      <c r="Q33" s="22">
        <v>2.1524327956481857</v>
      </c>
      <c r="R33" s="23">
        <v>43.323577235772355</v>
      </c>
      <c r="S33" s="18">
        <v>4.9438522744332684E-2</v>
      </c>
    </row>
    <row r="34" spans="1:19" x14ac:dyDescent="0.3">
      <c r="A34" s="1" t="s">
        <v>60</v>
      </c>
      <c r="B34" s="2">
        <v>46227</v>
      </c>
      <c r="C34" s="16">
        <v>330</v>
      </c>
      <c r="D34" s="16">
        <v>298</v>
      </c>
      <c r="E34" s="17">
        <v>0.10738255033557047</v>
      </c>
      <c r="F34" s="16">
        <v>82</v>
      </c>
      <c r="G34" s="18">
        <v>0.24848484848484848</v>
      </c>
      <c r="H34" s="19">
        <v>0.28000000000000003</v>
      </c>
      <c r="I34" s="18">
        <v>0.70099999999999996</v>
      </c>
      <c r="J34" s="16">
        <v>152.85</v>
      </c>
      <c r="K34" s="18">
        <v>0.23</v>
      </c>
      <c r="L34" s="20">
        <v>0.75999999999999091</v>
      </c>
      <c r="M34" s="18">
        <v>0.106</v>
      </c>
      <c r="N34" s="18">
        <v>0.13500000000000001</v>
      </c>
      <c r="O34" s="21">
        <v>5.0284848484848483</v>
      </c>
      <c r="P34" s="22">
        <v>13.485113268608414</v>
      </c>
      <c r="Q34" s="22">
        <v>2.1607715554681959</v>
      </c>
      <c r="R34" s="23">
        <v>45.848871442590777</v>
      </c>
      <c r="S34" s="18">
        <v>4.4118488838008015E-2</v>
      </c>
    </row>
    <row r="35" spans="1:19" x14ac:dyDescent="0.3">
      <c r="A35" s="1" t="s">
        <v>47</v>
      </c>
      <c r="B35" s="2">
        <v>46227</v>
      </c>
      <c r="C35" s="16">
        <v>331</v>
      </c>
      <c r="D35" s="16">
        <v>263</v>
      </c>
      <c r="E35" s="17">
        <v>0.2585551330798479</v>
      </c>
      <c r="F35" s="16">
        <v>74</v>
      </c>
      <c r="G35" s="18">
        <v>0.22356495468277945</v>
      </c>
      <c r="H35" s="19">
        <v>0.29699999999999999</v>
      </c>
      <c r="I35" s="18">
        <v>0.72</v>
      </c>
      <c r="J35" s="16">
        <v>168.66</v>
      </c>
      <c r="K35" s="18">
        <v>0.26800000000000002</v>
      </c>
      <c r="L35" s="20">
        <v>15.909999999999997</v>
      </c>
      <c r="M35" s="18">
        <v>0.115</v>
      </c>
      <c r="N35" s="18">
        <v>8.6999999999999994E-2</v>
      </c>
      <c r="O35" s="21">
        <v>4.8456193353474326</v>
      </c>
      <c r="P35" s="22">
        <v>14.010645161290324</v>
      </c>
      <c r="Q35" s="22">
        <v>2.0435262804112466</v>
      </c>
      <c r="R35" s="23">
        <v>35.230641527333098</v>
      </c>
      <c r="S35" s="18">
        <v>1.5474587680915516E-2</v>
      </c>
    </row>
    <row r="36" spans="1:19" x14ac:dyDescent="0.3">
      <c r="A36" s="1" t="s">
        <v>57</v>
      </c>
      <c r="B36" s="2">
        <v>46227</v>
      </c>
      <c r="C36" s="16">
        <v>332</v>
      </c>
      <c r="D36" s="16">
        <v>292</v>
      </c>
      <c r="E36" s="17">
        <v>0.13698630136986301</v>
      </c>
      <c r="F36" s="16">
        <v>73</v>
      </c>
      <c r="G36" s="18">
        <v>0.21987951807228914</v>
      </c>
      <c r="H36" s="19">
        <v>0.214</v>
      </c>
      <c r="I36" s="18">
        <v>0.67200000000000004</v>
      </c>
      <c r="J36" s="16">
        <v>153.78</v>
      </c>
      <c r="K36" s="18">
        <v>0.252</v>
      </c>
      <c r="L36" s="20">
        <v>-19.139999999999986</v>
      </c>
      <c r="M36" s="18">
        <v>0.108</v>
      </c>
      <c r="N36" s="18">
        <v>0.08</v>
      </c>
      <c r="O36" s="21">
        <v>3.8719879518072289</v>
      </c>
      <c r="P36" s="22">
        <v>15.040390879478826</v>
      </c>
      <c r="Q36" s="22">
        <v>2.2518582446973938</v>
      </c>
      <c r="R36" s="23">
        <v>45.200936402653141</v>
      </c>
      <c r="S36" s="18">
        <v>3.4096681096681097E-2</v>
      </c>
    </row>
    <row r="37" spans="1:19" x14ac:dyDescent="0.3">
      <c r="A37" s="1" t="s">
        <v>53</v>
      </c>
      <c r="B37" s="2">
        <v>46227</v>
      </c>
      <c r="C37" s="16">
        <v>333</v>
      </c>
      <c r="D37" s="16">
        <v>286</v>
      </c>
      <c r="E37" s="17">
        <v>0.16433566433566432</v>
      </c>
      <c r="F37" s="16">
        <v>53</v>
      </c>
      <c r="G37" s="18">
        <v>0.15915915915915915</v>
      </c>
      <c r="H37" s="19">
        <v>0.188</v>
      </c>
      <c r="I37" s="18">
        <v>0.74199999999999999</v>
      </c>
      <c r="J37" s="16">
        <v>151.22</v>
      </c>
      <c r="K37" s="18">
        <v>0.27900000000000003</v>
      </c>
      <c r="L37" s="20">
        <v>-4.9000000000000057</v>
      </c>
      <c r="M37" s="18">
        <v>0.114</v>
      </c>
      <c r="N37" s="18">
        <v>0.23300000000000001</v>
      </c>
      <c r="O37" s="21">
        <v>5.2585585585585584</v>
      </c>
      <c r="P37" s="22">
        <v>16.026837060702874</v>
      </c>
      <c r="Q37" s="22">
        <v>2.188147837431103</v>
      </c>
      <c r="R37" s="23">
        <v>46.369527840232777</v>
      </c>
      <c r="S37" s="18">
        <v>4.9550803673938E-2</v>
      </c>
    </row>
    <row r="38" spans="1:19" x14ac:dyDescent="0.3">
      <c r="A38" s="1" t="s">
        <v>32</v>
      </c>
      <c r="B38" s="2">
        <v>46227</v>
      </c>
      <c r="C38" s="16">
        <v>335</v>
      </c>
      <c r="D38" s="16">
        <v>227</v>
      </c>
      <c r="E38" s="17">
        <v>0.47577092511013214</v>
      </c>
      <c r="F38" s="16">
        <v>89</v>
      </c>
      <c r="G38" s="18">
        <v>0.2656716417910448</v>
      </c>
      <c r="H38" s="19">
        <v>0.36</v>
      </c>
      <c r="I38" s="18">
        <v>0.77</v>
      </c>
      <c r="J38" s="16">
        <v>166.55</v>
      </c>
      <c r="K38" s="18">
        <v>0.27800000000000002</v>
      </c>
      <c r="L38" s="20">
        <v>11.630000000000024</v>
      </c>
      <c r="M38" s="18">
        <v>0.17299999999999999</v>
      </c>
      <c r="N38" s="18">
        <v>0.186</v>
      </c>
      <c r="O38" s="21">
        <v>7.1322388059701494</v>
      </c>
      <c r="P38" s="22">
        <v>16.988636363636363</v>
      </c>
      <c r="Q38" s="22">
        <v>2.0392998825171871</v>
      </c>
      <c r="R38" s="23">
        <v>41.4950465325728</v>
      </c>
      <c r="S38" s="18">
        <v>4.7653016929532624E-2</v>
      </c>
    </row>
    <row r="39" spans="1:19" x14ac:dyDescent="0.3">
      <c r="A39" s="1" t="s">
        <v>51</v>
      </c>
      <c r="B39" s="2">
        <v>46227</v>
      </c>
      <c r="C39" s="16">
        <v>341</v>
      </c>
      <c r="D39" s="16">
        <v>273</v>
      </c>
      <c r="E39" s="17">
        <v>0.24908424908424909</v>
      </c>
      <c r="F39" s="16">
        <v>69</v>
      </c>
      <c r="G39" s="18">
        <v>0.20234604105571846</v>
      </c>
      <c r="H39" s="19">
        <v>0.183</v>
      </c>
      <c r="I39" s="18">
        <v>0.60299999999999998</v>
      </c>
      <c r="J39" s="16">
        <v>163.43</v>
      </c>
      <c r="K39" s="18">
        <v>0.26</v>
      </c>
      <c r="L39" s="20">
        <v>6.8000000000000114</v>
      </c>
      <c r="M39" s="18">
        <v>3.5000000000000003E-2</v>
      </c>
      <c r="N39" s="18">
        <v>1.2E-2</v>
      </c>
      <c r="O39" s="21">
        <v>3.2158357771260992</v>
      </c>
      <c r="P39" s="22">
        <v>12.08960244648318</v>
      </c>
      <c r="Q39" s="22">
        <v>2.1032136207825851</v>
      </c>
      <c r="R39" s="23">
        <v>41.638622040017133</v>
      </c>
      <c r="S39" s="18">
        <v>4.7653993516062483E-2</v>
      </c>
    </row>
    <row r="40" spans="1:19" x14ac:dyDescent="0.3">
      <c r="A40" s="1" t="s">
        <v>43</v>
      </c>
      <c r="B40" s="2">
        <v>46227</v>
      </c>
      <c r="C40" s="16">
        <v>344</v>
      </c>
      <c r="D40" s="16">
        <v>254</v>
      </c>
      <c r="E40" s="17">
        <v>0.3543307086614173</v>
      </c>
      <c r="F40" s="16">
        <v>72</v>
      </c>
      <c r="G40" s="18">
        <v>0.20930232558139536</v>
      </c>
      <c r="H40" s="19">
        <v>0.33300000000000002</v>
      </c>
      <c r="I40" s="18">
        <v>0.69399999999999995</v>
      </c>
      <c r="J40" s="16">
        <v>162.57</v>
      </c>
      <c r="K40" s="18">
        <v>0.26800000000000002</v>
      </c>
      <c r="L40" s="20">
        <v>-0.42000000000001592</v>
      </c>
      <c r="M40" s="18">
        <v>0.151</v>
      </c>
      <c r="N40" s="18">
        <v>0.13</v>
      </c>
      <c r="O40" s="21">
        <v>6.0418604651162795</v>
      </c>
      <c r="P40" s="22">
        <v>15.3728125</v>
      </c>
      <c r="Q40" s="22">
        <v>2.1833602004472268</v>
      </c>
      <c r="R40" s="23">
        <v>43.827274404871751</v>
      </c>
      <c r="S40" s="18">
        <v>3.0625964912280704E-2</v>
      </c>
    </row>
    <row r="41" spans="1:19" x14ac:dyDescent="0.3">
      <c r="A41" s="1" t="s">
        <v>55</v>
      </c>
      <c r="B41" s="2">
        <v>46227</v>
      </c>
      <c r="C41" s="16">
        <v>344</v>
      </c>
      <c r="D41" s="16">
        <v>290</v>
      </c>
      <c r="E41" s="17">
        <v>0.18620689655172415</v>
      </c>
      <c r="F41" s="16">
        <v>61</v>
      </c>
      <c r="G41" s="18">
        <v>0.17732558139534885</v>
      </c>
      <c r="H41" s="19">
        <v>0.17199999999999999</v>
      </c>
      <c r="I41" s="18">
        <v>0.76200000000000001</v>
      </c>
      <c r="J41" s="16">
        <v>175.27</v>
      </c>
      <c r="K41" s="18">
        <v>0.25</v>
      </c>
      <c r="L41" s="20">
        <v>-40.019999999999982</v>
      </c>
      <c r="M41" s="18">
        <v>0.11600000000000001</v>
      </c>
      <c r="N41" s="18">
        <v>5.8000000000000003E-2</v>
      </c>
      <c r="O41" s="21">
        <v>4.4816860465116282</v>
      </c>
      <c r="P41" s="22">
        <v>14.275975975975975</v>
      </c>
      <c r="Q41" s="22">
        <v>1.9577780590558818</v>
      </c>
      <c r="R41" s="23">
        <v>40.856963541963822</v>
      </c>
      <c r="S41" s="18">
        <v>2.8653819298980587E-2</v>
      </c>
    </row>
    <row r="42" spans="1:19" x14ac:dyDescent="0.3">
      <c r="A42" s="1" t="s">
        <v>52</v>
      </c>
      <c r="B42" s="2">
        <v>46227</v>
      </c>
      <c r="C42" s="16">
        <v>345</v>
      </c>
      <c r="D42" s="16">
        <v>280</v>
      </c>
      <c r="E42" s="17">
        <v>0.23214285714285715</v>
      </c>
      <c r="F42" s="16">
        <v>106</v>
      </c>
      <c r="G42" s="18">
        <v>0.30724637681159422</v>
      </c>
      <c r="H42" s="19">
        <v>0.23200000000000001</v>
      </c>
      <c r="I42" s="18">
        <v>0.71399999999999997</v>
      </c>
      <c r="J42" s="16">
        <v>156.6</v>
      </c>
      <c r="K42" s="18">
        <v>0.25700000000000001</v>
      </c>
      <c r="L42" s="20">
        <v>-58.289999999999992</v>
      </c>
      <c r="M42" s="18">
        <v>0.154</v>
      </c>
      <c r="N42" s="18">
        <v>0.21299999999999999</v>
      </c>
      <c r="O42" s="21">
        <v>6.7889855072463767</v>
      </c>
      <c r="P42" s="22">
        <v>14.006906906906908</v>
      </c>
      <c r="Q42" s="22">
        <v>2.2364323460012985</v>
      </c>
      <c r="R42" s="23">
        <v>43.109833971902937</v>
      </c>
      <c r="S42" s="18">
        <v>0.1751032536027336</v>
      </c>
    </row>
    <row r="43" spans="1:19" x14ac:dyDescent="0.3">
      <c r="A43" s="1" t="s">
        <v>68</v>
      </c>
      <c r="B43" s="2">
        <v>46227</v>
      </c>
      <c r="C43" s="16">
        <v>352</v>
      </c>
      <c r="D43" s="16">
        <v>320</v>
      </c>
      <c r="E43" s="17">
        <v>0.1</v>
      </c>
      <c r="F43" s="16">
        <v>59</v>
      </c>
      <c r="G43" s="18">
        <v>0.16761363636363635</v>
      </c>
      <c r="H43" s="19">
        <v>0.35299999999999998</v>
      </c>
      <c r="I43" s="18">
        <v>0.76800000000000002</v>
      </c>
      <c r="J43" s="16">
        <v>173.37</v>
      </c>
      <c r="K43" s="18">
        <v>0.255</v>
      </c>
      <c r="L43" s="20">
        <v>-12.740000000000009</v>
      </c>
      <c r="M43" s="18">
        <v>6.8000000000000005E-2</v>
      </c>
      <c r="N43" s="18">
        <v>2.1000000000000001E-2</v>
      </c>
      <c r="O43" s="21">
        <v>3.8409090909090908</v>
      </c>
      <c r="P43" s="22">
        <v>14.23560371517028</v>
      </c>
      <c r="Q43" s="22">
        <v>2.0908289715657733</v>
      </c>
      <c r="R43" s="23">
        <v>40.266482090327045</v>
      </c>
      <c r="S43" s="18">
        <v>1.5239189771584543E-2</v>
      </c>
    </row>
    <row r="44" spans="1:19" x14ac:dyDescent="0.3">
      <c r="A44" s="1" t="s">
        <v>83</v>
      </c>
      <c r="B44" s="2">
        <v>46227</v>
      </c>
      <c r="C44" s="16">
        <v>352</v>
      </c>
      <c r="D44" s="16">
        <v>352</v>
      </c>
      <c r="E44" s="17">
        <v>0</v>
      </c>
      <c r="F44" s="16">
        <v>80</v>
      </c>
      <c r="G44" s="18">
        <v>0.22727272727272727</v>
      </c>
      <c r="H44" s="19">
        <v>0.2</v>
      </c>
      <c r="I44" s="18">
        <v>0.73299999999999998</v>
      </c>
      <c r="J44" s="16">
        <v>157.85</v>
      </c>
      <c r="K44" s="18">
        <v>0.29599999999999999</v>
      </c>
      <c r="L44" s="20">
        <v>-24.099999999999994</v>
      </c>
      <c r="M44" s="18">
        <v>0.17899999999999999</v>
      </c>
      <c r="N44" s="18">
        <v>0.223</v>
      </c>
      <c r="O44" s="21">
        <v>7.473295454545454</v>
      </c>
      <c r="P44" s="22">
        <v>15.162300319488818</v>
      </c>
      <c r="Q44" s="22">
        <v>2.2944963241198453</v>
      </c>
      <c r="R44" s="23">
        <v>46.569528032942671</v>
      </c>
      <c r="S44" s="18">
        <v>5.2696231805196572E-2</v>
      </c>
    </row>
    <row r="45" spans="1:19" x14ac:dyDescent="0.3">
      <c r="A45" s="1" t="s">
        <v>80</v>
      </c>
      <c r="B45" s="2">
        <v>46227</v>
      </c>
      <c r="C45" s="16">
        <v>357</v>
      </c>
      <c r="D45" s="16">
        <v>350</v>
      </c>
      <c r="E45" s="17">
        <v>0.02</v>
      </c>
      <c r="F45" s="16">
        <v>50</v>
      </c>
      <c r="G45" s="18">
        <v>0.14005602240896359</v>
      </c>
      <c r="H45" s="19">
        <v>0.308</v>
      </c>
      <c r="I45" s="18">
        <v>0.77800000000000002</v>
      </c>
      <c r="J45" s="16">
        <v>185.81</v>
      </c>
      <c r="K45" s="18">
        <v>0.25600000000000001</v>
      </c>
      <c r="L45" s="20">
        <v>-34.079999999999984</v>
      </c>
      <c r="M45" s="18">
        <v>0.16</v>
      </c>
      <c r="N45" s="18">
        <v>0.11899999999999999</v>
      </c>
      <c r="O45" s="21">
        <v>7.4574229691876752</v>
      </c>
      <c r="P45" s="22">
        <v>16.374486803519062</v>
      </c>
      <c r="Q45" s="22">
        <v>1.9218088414773391</v>
      </c>
      <c r="R45" s="23">
        <v>41.009633496582531</v>
      </c>
      <c r="S45" s="18">
        <v>5.1133192945511975E-2</v>
      </c>
    </row>
    <row r="46" spans="1:19" x14ac:dyDescent="0.3">
      <c r="A46" s="1" t="s">
        <v>62</v>
      </c>
      <c r="B46" s="2">
        <v>46227</v>
      </c>
      <c r="C46" s="16">
        <v>358</v>
      </c>
      <c r="D46" s="16">
        <v>304</v>
      </c>
      <c r="E46" s="17">
        <v>0.17763157894736842</v>
      </c>
      <c r="F46" s="16">
        <v>60</v>
      </c>
      <c r="G46" s="18">
        <v>0.16759776536312848</v>
      </c>
      <c r="H46" s="19">
        <v>0.16</v>
      </c>
      <c r="I46" s="18">
        <v>0.74099999999999999</v>
      </c>
      <c r="J46" s="16">
        <v>167.44</v>
      </c>
      <c r="K46" s="18">
        <v>0.22900000000000001</v>
      </c>
      <c r="L46" s="20">
        <v>1.7400000000000091</v>
      </c>
      <c r="M46" s="18">
        <v>0.128</v>
      </c>
      <c r="N46" s="18">
        <v>0.12</v>
      </c>
      <c r="O46" s="21">
        <v>5.6921787709497202</v>
      </c>
      <c r="P46" s="22">
        <v>15.398840579710146</v>
      </c>
      <c r="Q46" s="22">
        <v>2.1522046418311978</v>
      </c>
      <c r="R46" s="23">
        <v>43.956043956043956</v>
      </c>
      <c r="S46" s="18">
        <v>3.7216452582672865E-2</v>
      </c>
    </row>
    <row r="47" spans="1:19" x14ac:dyDescent="0.3">
      <c r="A47" s="1" t="s">
        <v>64</v>
      </c>
      <c r="B47" s="2">
        <v>46227</v>
      </c>
      <c r="C47" s="16">
        <v>363</v>
      </c>
      <c r="D47" s="16">
        <v>306</v>
      </c>
      <c r="E47" s="17">
        <v>0.18627450980392157</v>
      </c>
      <c r="F47" s="16">
        <v>48</v>
      </c>
      <c r="G47" s="18">
        <v>0.13223140495867769</v>
      </c>
      <c r="H47" s="19">
        <v>0.30499999999999999</v>
      </c>
      <c r="I47" s="18">
        <v>0.79500000000000004</v>
      </c>
      <c r="J47" s="16">
        <v>163.55000000000001</v>
      </c>
      <c r="K47" s="18">
        <v>0.32500000000000001</v>
      </c>
      <c r="L47" s="20">
        <v>10.620000000000005</v>
      </c>
      <c r="M47" s="18">
        <v>9.4E-2</v>
      </c>
      <c r="N47" s="18">
        <v>0.125</v>
      </c>
      <c r="O47" s="21">
        <v>4.9506887052341595</v>
      </c>
      <c r="P47" s="22">
        <v>15.651999999999999</v>
      </c>
      <c r="Q47" s="22">
        <v>2.2366853983932526</v>
      </c>
      <c r="R47" s="23">
        <v>45.325588505044323</v>
      </c>
      <c r="S47" s="18">
        <v>3.5334145021645023E-2</v>
      </c>
    </row>
    <row r="48" spans="1:19" x14ac:dyDescent="0.3">
      <c r="A48" s="1" t="s">
        <v>77</v>
      </c>
      <c r="B48" s="2">
        <v>46227</v>
      </c>
      <c r="C48" s="16">
        <v>364</v>
      </c>
      <c r="D48" s="16">
        <v>336</v>
      </c>
      <c r="E48" s="17">
        <v>8.3333333333333329E-2</v>
      </c>
      <c r="F48" s="16">
        <v>81</v>
      </c>
      <c r="G48" s="18">
        <v>0.22252747252747251</v>
      </c>
      <c r="H48" s="19">
        <v>0.11</v>
      </c>
      <c r="I48" s="18">
        <v>0.77300000000000002</v>
      </c>
      <c r="J48" s="16">
        <v>163.99</v>
      </c>
      <c r="K48" s="18">
        <v>0.27200000000000002</v>
      </c>
      <c r="L48" s="20">
        <v>-1.9399999999999977</v>
      </c>
      <c r="M48" s="18">
        <v>9.0999999999999998E-2</v>
      </c>
      <c r="N48" s="18">
        <v>8.5999999999999993E-2</v>
      </c>
      <c r="O48" s="21">
        <v>4.3219780219780217</v>
      </c>
      <c r="P48" s="22">
        <v>13.898550724637682</v>
      </c>
      <c r="Q48" s="22">
        <v>2.2575937855628188</v>
      </c>
      <c r="R48" s="23">
        <v>46.508933471553142</v>
      </c>
      <c r="S48" s="18">
        <v>4.673266028582667E-2</v>
      </c>
    </row>
    <row r="49" spans="1:19" x14ac:dyDescent="0.3">
      <c r="A49" s="1" t="s">
        <v>49</v>
      </c>
      <c r="B49" s="2">
        <v>46227</v>
      </c>
      <c r="C49" s="16">
        <v>368</v>
      </c>
      <c r="D49" s="16">
        <v>268</v>
      </c>
      <c r="E49" s="17">
        <v>0.37313432835820898</v>
      </c>
      <c r="F49" s="16">
        <v>38</v>
      </c>
      <c r="G49" s="18">
        <v>0.10326086956521739</v>
      </c>
      <c r="H49" s="19">
        <v>0.33900000000000002</v>
      </c>
      <c r="I49" s="18">
        <v>0.77900000000000003</v>
      </c>
      <c r="J49" s="16">
        <v>167.34</v>
      </c>
      <c r="K49" s="18">
        <v>0.254</v>
      </c>
      <c r="L49" s="20">
        <v>10.659999999999997</v>
      </c>
      <c r="M49" s="18">
        <v>0.17699999999999999</v>
      </c>
      <c r="N49" s="18">
        <v>8.3000000000000004E-2</v>
      </c>
      <c r="O49" s="21">
        <v>7.1385869565217392</v>
      </c>
      <c r="P49" s="22">
        <v>15.943019943019943</v>
      </c>
      <c r="Q49" s="22">
        <v>2.2213996712024677</v>
      </c>
      <c r="R49" s="23">
        <v>45.757141149754986</v>
      </c>
      <c r="S49" s="18">
        <v>4.6161682120935091E-2</v>
      </c>
    </row>
    <row r="50" spans="1:19" x14ac:dyDescent="0.3">
      <c r="A50" s="1" t="s">
        <v>85</v>
      </c>
      <c r="B50" s="2">
        <v>46227</v>
      </c>
      <c r="C50" s="16">
        <v>372</v>
      </c>
      <c r="D50" s="16">
        <v>359</v>
      </c>
      <c r="E50" s="17">
        <v>3.6211699164345405E-2</v>
      </c>
      <c r="F50" s="16">
        <v>66</v>
      </c>
      <c r="G50" s="18">
        <v>0.17741935483870969</v>
      </c>
      <c r="H50" s="19">
        <v>0.217</v>
      </c>
      <c r="I50" s="18">
        <v>0.72099999999999997</v>
      </c>
      <c r="J50" s="16">
        <v>193.47</v>
      </c>
      <c r="K50" s="18">
        <v>0.26800000000000002</v>
      </c>
      <c r="L50" s="20">
        <v>-9.3700000000000045</v>
      </c>
      <c r="M50" s="18">
        <v>8.3000000000000004E-2</v>
      </c>
      <c r="N50" s="18">
        <v>9.4E-2</v>
      </c>
      <c r="O50" s="21">
        <v>4.247311827956989</v>
      </c>
      <c r="P50" s="22">
        <v>15.112569832402235</v>
      </c>
      <c r="Q50" s="22">
        <v>1.9274136292390711</v>
      </c>
      <c r="R50" s="23">
        <v>40.295653072827832</v>
      </c>
      <c r="S50" s="18">
        <v>2.2854027706516161E-2</v>
      </c>
    </row>
    <row r="51" spans="1:19" x14ac:dyDescent="0.3">
      <c r="A51" s="1" t="s">
        <v>34</v>
      </c>
      <c r="B51" s="2">
        <v>46227</v>
      </c>
      <c r="C51" s="16">
        <v>375</v>
      </c>
      <c r="D51" s="16">
        <v>233</v>
      </c>
      <c r="E51" s="17">
        <v>0.6094420600858369</v>
      </c>
      <c r="F51" s="16">
        <v>72</v>
      </c>
      <c r="G51" s="18">
        <v>0.192</v>
      </c>
      <c r="H51" s="19">
        <v>0.17599999999999999</v>
      </c>
      <c r="I51" s="18">
        <v>0.63800000000000001</v>
      </c>
      <c r="J51" s="16">
        <v>143.28</v>
      </c>
      <c r="K51" s="18">
        <v>0.26</v>
      </c>
      <c r="L51" s="20">
        <v>30.150000000000006</v>
      </c>
      <c r="M51" s="18">
        <v>0.16500000000000001</v>
      </c>
      <c r="N51" s="18">
        <v>0.17399999999999999</v>
      </c>
      <c r="O51" s="21">
        <v>6.4893333333333336</v>
      </c>
      <c r="P51" s="22">
        <v>12.221902017291066</v>
      </c>
      <c r="Q51" s="22">
        <v>2.659985751248036</v>
      </c>
      <c r="R51" s="23">
        <v>55.269402568397545</v>
      </c>
      <c r="S51" s="18">
        <v>5.6549447759299223E-2</v>
      </c>
    </row>
    <row r="52" spans="1:19" x14ac:dyDescent="0.3">
      <c r="A52" s="1" t="s">
        <v>66</v>
      </c>
      <c r="B52" s="2">
        <v>46227</v>
      </c>
      <c r="C52" s="16">
        <v>376</v>
      </c>
      <c r="D52" s="16">
        <v>310</v>
      </c>
      <c r="E52" s="17">
        <v>0.2129032258064516</v>
      </c>
      <c r="F52" s="16">
        <v>66</v>
      </c>
      <c r="G52" s="18">
        <v>0.17553191489361702</v>
      </c>
      <c r="H52" s="19">
        <v>0.28899999999999998</v>
      </c>
      <c r="I52" s="18">
        <v>0.748</v>
      </c>
      <c r="J52" s="16">
        <v>170.32</v>
      </c>
      <c r="K52" s="18">
        <v>0.28699999999999998</v>
      </c>
      <c r="L52" s="20">
        <v>19.939999999999998</v>
      </c>
      <c r="M52" s="18">
        <v>7.1999999999999995E-2</v>
      </c>
      <c r="N52" s="18">
        <v>8.7999999999999995E-2</v>
      </c>
      <c r="O52" s="21">
        <v>4.2949468085106384</v>
      </c>
      <c r="P52" s="22">
        <v>13.398599439775911</v>
      </c>
      <c r="Q52" s="22">
        <v>2.2383455197912734</v>
      </c>
      <c r="R52" s="23">
        <v>47.416627524659468</v>
      </c>
      <c r="S52" s="18">
        <v>2.7708540218470704E-2</v>
      </c>
    </row>
    <row r="53" spans="1:19" x14ac:dyDescent="0.3">
      <c r="A53" s="1" t="s">
        <v>74</v>
      </c>
      <c r="B53" s="2">
        <v>46227</v>
      </c>
      <c r="C53" s="16">
        <v>384</v>
      </c>
      <c r="D53" s="16">
        <v>330</v>
      </c>
      <c r="E53" s="17">
        <v>0.16363636363636364</v>
      </c>
      <c r="F53" s="16">
        <v>75</v>
      </c>
      <c r="G53" s="18">
        <v>0.1953125</v>
      </c>
      <c r="H53" s="19">
        <v>0.188</v>
      </c>
      <c r="I53" s="18">
        <v>0.70599999999999996</v>
      </c>
      <c r="J53" s="16">
        <v>170.43</v>
      </c>
      <c r="K53" s="18">
        <v>0.245</v>
      </c>
      <c r="L53" s="20">
        <v>-9.0199999999999818</v>
      </c>
      <c r="M53" s="18">
        <v>8.8999999999999996E-2</v>
      </c>
      <c r="N53" s="18">
        <v>5.2999999999999999E-2</v>
      </c>
      <c r="O53" s="21">
        <v>4.0289062499999995</v>
      </c>
      <c r="P53" s="22">
        <v>14.265277777777778</v>
      </c>
      <c r="Q53" s="22">
        <v>2.2795621291559902</v>
      </c>
      <c r="R53" s="23">
        <v>47.63245907410667</v>
      </c>
      <c r="S53" s="18">
        <v>6.2042374969204242E-2</v>
      </c>
    </row>
    <row r="54" spans="1:19" x14ac:dyDescent="0.3">
      <c r="A54" s="1" t="s">
        <v>69</v>
      </c>
      <c r="B54" s="2">
        <v>46227</v>
      </c>
      <c r="C54" s="16">
        <v>385</v>
      </c>
      <c r="D54" s="16">
        <v>321</v>
      </c>
      <c r="E54" s="17">
        <v>0.19937694704049844</v>
      </c>
      <c r="F54" s="16">
        <v>72</v>
      </c>
      <c r="G54" s="18">
        <v>0.18701298701298702</v>
      </c>
      <c r="H54" s="19">
        <v>0.16700000000000001</v>
      </c>
      <c r="I54" s="18">
        <v>0.73499999999999999</v>
      </c>
      <c r="J54" s="16">
        <v>178.14</v>
      </c>
      <c r="K54" s="18">
        <v>0.28100000000000003</v>
      </c>
      <c r="L54" s="20">
        <v>-9.3100000000000023</v>
      </c>
      <c r="M54" s="18">
        <v>0.22900000000000001</v>
      </c>
      <c r="N54" s="18">
        <v>0.24399999999999999</v>
      </c>
      <c r="O54" s="21">
        <v>8.6672727272727279</v>
      </c>
      <c r="P54" s="22">
        <v>16.276315789473685</v>
      </c>
      <c r="Q54" s="22">
        <v>2.2510301815458216</v>
      </c>
      <c r="R54" s="23">
        <v>40.681486471314699</v>
      </c>
      <c r="S54" s="18">
        <v>1.8665654753691183E-2</v>
      </c>
    </row>
    <row r="55" spans="1:19" x14ac:dyDescent="0.3">
      <c r="A55" s="1" t="s">
        <v>90</v>
      </c>
      <c r="B55" s="2">
        <v>46227</v>
      </c>
      <c r="C55" s="16">
        <v>390</v>
      </c>
      <c r="D55" s="16">
        <v>373</v>
      </c>
      <c r="E55" s="17">
        <v>4.5576407506702415E-2</v>
      </c>
      <c r="F55" s="16">
        <v>103</v>
      </c>
      <c r="G55" s="18">
        <v>0.26410256410256411</v>
      </c>
      <c r="H55" s="19">
        <v>0.24299999999999999</v>
      </c>
      <c r="I55" s="18">
        <v>0.72499999999999998</v>
      </c>
      <c r="J55" s="16">
        <v>182.69</v>
      </c>
      <c r="K55" s="18">
        <v>0.27700000000000002</v>
      </c>
      <c r="L55" s="20">
        <v>-13.72999999999999</v>
      </c>
      <c r="M55" s="18">
        <v>0.14899999999999999</v>
      </c>
      <c r="N55" s="18">
        <v>0.113</v>
      </c>
      <c r="O55" s="21">
        <v>6.3382051282051286</v>
      </c>
      <c r="P55" s="22">
        <v>14.711320754716979</v>
      </c>
      <c r="Q55" s="22">
        <v>2.2031717917805373</v>
      </c>
      <c r="R55" s="23">
        <v>44.069188242377798</v>
      </c>
      <c r="S55" s="18">
        <v>3.8991386843090753E-2</v>
      </c>
    </row>
    <row r="56" spans="1:19" x14ac:dyDescent="0.3">
      <c r="A56" s="1" t="s">
        <v>86</v>
      </c>
      <c r="B56" s="2">
        <v>46227</v>
      </c>
      <c r="C56" s="16">
        <v>390</v>
      </c>
      <c r="D56" s="16">
        <v>364</v>
      </c>
      <c r="E56" s="17">
        <v>7.1428571428571425E-2</v>
      </c>
      <c r="F56" s="16">
        <v>69</v>
      </c>
      <c r="G56" s="18">
        <v>0.17692307692307693</v>
      </c>
      <c r="H56" s="19">
        <v>0.183</v>
      </c>
      <c r="I56" s="18">
        <v>0.74299999999999999</v>
      </c>
      <c r="J56" s="16">
        <v>166.1</v>
      </c>
      <c r="K56" s="18">
        <v>0.247</v>
      </c>
      <c r="L56" s="20">
        <v>-24.730000000000018</v>
      </c>
      <c r="M56" s="18">
        <v>0.14899999999999999</v>
      </c>
      <c r="N56" s="18">
        <v>0.27</v>
      </c>
      <c r="O56" s="21">
        <v>6.4494871794871802</v>
      </c>
      <c r="P56" s="22">
        <v>12.856164383561644</v>
      </c>
      <c r="Q56" s="22">
        <v>2.4011443232427947</v>
      </c>
      <c r="R56" s="23">
        <v>48.573148705599039</v>
      </c>
      <c r="S56" s="18">
        <v>4.2932573128408529E-2</v>
      </c>
    </row>
    <row r="57" spans="1:19" x14ac:dyDescent="0.3">
      <c r="A57" s="3" t="s">
        <v>76</v>
      </c>
      <c r="B57" s="4">
        <v>46227</v>
      </c>
      <c r="C57" s="24">
        <v>394</v>
      </c>
      <c r="D57" s="24">
        <v>334</v>
      </c>
      <c r="E57" s="25">
        <v>0.17964071856287425</v>
      </c>
      <c r="F57" s="24">
        <v>58</v>
      </c>
      <c r="G57" s="26">
        <v>0.14720812182741116</v>
      </c>
      <c r="H57" s="27">
        <v>0.26200000000000001</v>
      </c>
      <c r="I57" s="26">
        <v>0.74299999999999999</v>
      </c>
      <c r="J57" s="24">
        <v>189.89</v>
      </c>
      <c r="K57" s="26">
        <v>0.28999999999999998</v>
      </c>
      <c r="L57" s="28">
        <v>5.8999999999999773</v>
      </c>
      <c r="M57" s="26">
        <v>0.25900000000000001</v>
      </c>
      <c r="N57" s="26">
        <v>0.10299999999999999</v>
      </c>
      <c r="O57" s="29">
        <v>9.9302030456852783</v>
      </c>
      <c r="P57" s="30">
        <v>17.83324396782842</v>
      </c>
      <c r="Q57" s="30">
        <v>2.1159360756008154</v>
      </c>
      <c r="R57" s="31">
        <v>41.413449892042763</v>
      </c>
      <c r="S57" s="26">
        <v>3.7182095625635805E-2</v>
      </c>
    </row>
    <row r="58" spans="1:19" x14ac:dyDescent="0.3">
      <c r="A58" s="1" t="s">
        <v>63</v>
      </c>
      <c r="B58" s="2">
        <v>46227</v>
      </c>
      <c r="C58" s="16">
        <v>397</v>
      </c>
      <c r="D58" s="16">
        <v>305</v>
      </c>
      <c r="E58" s="17">
        <v>0.30163934426229511</v>
      </c>
      <c r="F58" s="16">
        <v>72</v>
      </c>
      <c r="G58" s="18">
        <v>0.181360201511335</v>
      </c>
      <c r="H58" s="19">
        <v>0.18099999999999999</v>
      </c>
      <c r="I58" s="18">
        <v>0.76</v>
      </c>
      <c r="J58" s="16">
        <v>164.62</v>
      </c>
      <c r="K58" s="18">
        <v>0.26700000000000002</v>
      </c>
      <c r="L58" s="20">
        <v>-17.879999999999995</v>
      </c>
      <c r="M58" s="18">
        <v>0.14899999999999999</v>
      </c>
      <c r="N58" s="18">
        <v>0.107</v>
      </c>
      <c r="O58" s="21">
        <v>4.9193954659949624</v>
      </c>
      <c r="P58" s="22">
        <v>15.141823056300266</v>
      </c>
      <c r="Q58" s="22">
        <v>2.4509977256880888</v>
      </c>
      <c r="R58" s="23">
        <v>49.076661402016768</v>
      </c>
      <c r="S58" s="18">
        <v>3.9836410955508737E-2</v>
      </c>
    </row>
    <row r="59" spans="1:19" x14ac:dyDescent="0.3">
      <c r="A59" s="3" t="s">
        <v>48</v>
      </c>
      <c r="B59" s="4">
        <v>46227</v>
      </c>
      <c r="C59" s="24">
        <v>406</v>
      </c>
      <c r="D59" s="24">
        <v>264</v>
      </c>
      <c r="E59" s="25">
        <v>0.53787878787878785</v>
      </c>
      <c r="F59" s="24">
        <v>53</v>
      </c>
      <c r="G59" s="26">
        <v>0.13054187192118227</v>
      </c>
      <c r="H59" s="27">
        <v>0.28699999999999998</v>
      </c>
      <c r="I59" s="26">
        <v>0.70399999999999996</v>
      </c>
      <c r="J59" s="24">
        <v>173.84</v>
      </c>
      <c r="K59" s="26">
        <v>0.27600000000000002</v>
      </c>
      <c r="L59" s="28">
        <v>20.52000000000001</v>
      </c>
      <c r="M59" s="26">
        <v>7.3999999999999996E-2</v>
      </c>
      <c r="N59" s="26">
        <v>5.3999999999999999E-2</v>
      </c>
      <c r="O59" s="29">
        <v>3.3679802955665026</v>
      </c>
      <c r="P59" s="30">
        <v>15.449081364829397</v>
      </c>
      <c r="Q59" s="30">
        <v>2.3804529953862672</v>
      </c>
      <c r="R59" s="31">
        <v>46.652093879429358</v>
      </c>
      <c r="S59" s="26">
        <v>1.9421579532814235E-2</v>
      </c>
    </row>
    <row r="60" spans="1:19" x14ac:dyDescent="0.3">
      <c r="A60" s="1" t="s">
        <v>67</v>
      </c>
      <c r="B60" s="2">
        <v>46227</v>
      </c>
      <c r="C60" s="16">
        <v>406</v>
      </c>
      <c r="D60" s="16">
        <v>314</v>
      </c>
      <c r="E60" s="17">
        <v>0.2929936305732484</v>
      </c>
      <c r="F60" s="16">
        <v>82</v>
      </c>
      <c r="G60" s="18">
        <v>0.2019704433497537</v>
      </c>
      <c r="H60" s="19">
        <v>0.16200000000000001</v>
      </c>
      <c r="I60" s="18">
        <v>0.59099999999999997</v>
      </c>
      <c r="J60" s="16">
        <v>199.8</v>
      </c>
      <c r="K60" s="18">
        <v>0.27100000000000002</v>
      </c>
      <c r="L60" s="20">
        <v>17.600000000000023</v>
      </c>
      <c r="M60" s="18">
        <v>0.20699999999999999</v>
      </c>
      <c r="N60" s="18">
        <v>0.31900000000000001</v>
      </c>
      <c r="O60" s="21">
        <v>8.0711822660098527</v>
      </c>
      <c r="P60" s="22">
        <v>15.490956072351421</v>
      </c>
      <c r="Q60" s="22">
        <v>2.0481636210342837</v>
      </c>
      <c r="R60" s="23">
        <v>40.885885885885884</v>
      </c>
      <c r="S60" s="18">
        <v>4.1858895705521468E-2</v>
      </c>
    </row>
    <row r="61" spans="1:19" x14ac:dyDescent="0.3">
      <c r="A61" s="1" t="s">
        <v>72</v>
      </c>
      <c r="B61" s="2">
        <v>46227</v>
      </c>
      <c r="C61" s="16">
        <v>411</v>
      </c>
      <c r="D61" s="16">
        <v>325</v>
      </c>
      <c r="E61" s="17">
        <v>0.26461538461538464</v>
      </c>
      <c r="F61" s="16">
        <v>76</v>
      </c>
      <c r="G61" s="18">
        <v>0.18491484184914841</v>
      </c>
      <c r="H61" s="19">
        <v>0.25</v>
      </c>
      <c r="I61" s="18">
        <v>0.73499999999999999</v>
      </c>
      <c r="J61" s="16">
        <v>171.97</v>
      </c>
      <c r="K61" s="18">
        <v>0.28199999999999997</v>
      </c>
      <c r="L61" s="20">
        <v>-21.02000000000001</v>
      </c>
      <c r="M61" s="18">
        <v>0.114</v>
      </c>
      <c r="N61" s="18">
        <v>8.4000000000000005E-2</v>
      </c>
      <c r="O61" s="21">
        <v>5.1866180048661796</v>
      </c>
      <c r="P61" s="22">
        <v>15.213541666666666</v>
      </c>
      <c r="Q61" s="22">
        <v>2.4199941322563898</v>
      </c>
      <c r="R61" s="23">
        <v>51.194975867883933</v>
      </c>
      <c r="S61" s="18">
        <v>2.5129486597001365E-2</v>
      </c>
    </row>
    <row r="62" spans="1:19" x14ac:dyDescent="0.3">
      <c r="A62" s="1" t="s">
        <v>75</v>
      </c>
      <c r="B62" s="2">
        <v>46227</v>
      </c>
      <c r="C62" s="16">
        <v>412</v>
      </c>
      <c r="D62" s="16">
        <v>330</v>
      </c>
      <c r="E62" s="17">
        <v>0.24848484848484848</v>
      </c>
      <c r="F62" s="16">
        <v>92</v>
      </c>
      <c r="G62" s="18">
        <v>0.22330097087378642</v>
      </c>
      <c r="H62" s="19">
        <v>0.14299999999999999</v>
      </c>
      <c r="I62" s="18">
        <v>0.59299999999999997</v>
      </c>
      <c r="J62" s="16">
        <v>169.93</v>
      </c>
      <c r="K62" s="18">
        <v>0.29599999999999999</v>
      </c>
      <c r="L62" s="20">
        <v>8.5500000000000114</v>
      </c>
      <c r="M62" s="18">
        <v>0.14299999999999999</v>
      </c>
      <c r="N62" s="18">
        <v>0.13200000000000001</v>
      </c>
      <c r="O62" s="21">
        <v>6.3929611650485443</v>
      </c>
      <c r="P62" s="22">
        <v>15.596010638297873</v>
      </c>
      <c r="Q62" s="22">
        <v>2.4879920507689857</v>
      </c>
      <c r="R62" s="23">
        <v>49.79697522509268</v>
      </c>
      <c r="S62" s="18">
        <v>4.1044670290711412E-2</v>
      </c>
    </row>
    <row r="63" spans="1:19" x14ac:dyDescent="0.3">
      <c r="A63" s="1" t="s">
        <v>88</v>
      </c>
      <c r="B63" s="2">
        <v>46227</v>
      </c>
      <c r="C63" s="16">
        <v>415</v>
      </c>
      <c r="D63" s="16">
        <v>368</v>
      </c>
      <c r="E63" s="17">
        <v>0.12771739130434784</v>
      </c>
      <c r="F63" s="16">
        <v>82</v>
      </c>
      <c r="G63" s="18">
        <v>0.19759036144578312</v>
      </c>
      <c r="H63" s="19">
        <v>0.15</v>
      </c>
      <c r="I63" s="18">
        <v>0.63700000000000001</v>
      </c>
      <c r="J63" s="16">
        <v>181.06</v>
      </c>
      <c r="K63" s="18">
        <v>0.23899999999999999</v>
      </c>
      <c r="L63" s="20">
        <v>-10.079999999999984</v>
      </c>
      <c r="M63" s="18">
        <v>3.5999999999999997E-2</v>
      </c>
      <c r="N63" s="18">
        <v>2.7E-2</v>
      </c>
      <c r="O63" s="21">
        <v>2.5351807228915662</v>
      </c>
      <c r="P63" s="22">
        <v>11.939637305699481</v>
      </c>
      <c r="Q63" s="22">
        <v>2.2909660574857522</v>
      </c>
      <c r="R63" s="23">
        <v>47.514636032254501</v>
      </c>
      <c r="S63" s="18">
        <v>4.6080437056840638E-2</v>
      </c>
    </row>
    <row r="64" spans="1:19" x14ac:dyDescent="0.3">
      <c r="A64" s="1" t="s">
        <v>84</v>
      </c>
      <c r="B64" s="2">
        <v>46227</v>
      </c>
      <c r="C64" s="16">
        <v>415</v>
      </c>
      <c r="D64" s="16">
        <v>356</v>
      </c>
      <c r="E64" s="17">
        <v>0.16573033707865167</v>
      </c>
      <c r="F64" s="16">
        <v>62</v>
      </c>
      <c r="G64" s="18">
        <v>0.14939759036144579</v>
      </c>
      <c r="H64" s="19">
        <v>0.26</v>
      </c>
      <c r="I64" s="18">
        <v>0.77200000000000002</v>
      </c>
      <c r="J64" s="16">
        <v>175.24</v>
      </c>
      <c r="K64" s="18">
        <v>0.26200000000000001</v>
      </c>
      <c r="L64" s="20">
        <v>-26.989999999999981</v>
      </c>
      <c r="M64" s="18">
        <v>0.108</v>
      </c>
      <c r="N64" s="18">
        <v>0.01</v>
      </c>
      <c r="O64" s="21">
        <v>5.104819277108434</v>
      </c>
      <c r="P64" s="22">
        <v>13.313917525773196</v>
      </c>
      <c r="Q64" s="22">
        <v>2.4198825654125171</v>
      </c>
      <c r="R64" s="23">
        <v>42.553070075325266</v>
      </c>
      <c r="S64" s="18">
        <v>1.413037634408602E-2</v>
      </c>
    </row>
    <row r="65" spans="1:19" x14ac:dyDescent="0.3">
      <c r="A65" s="1" t="s">
        <v>78</v>
      </c>
      <c r="B65" s="2">
        <v>46227</v>
      </c>
      <c r="C65" s="16">
        <v>416</v>
      </c>
      <c r="D65" s="16">
        <v>340</v>
      </c>
      <c r="E65" s="17">
        <v>0.22352941176470589</v>
      </c>
      <c r="F65" s="16">
        <v>55</v>
      </c>
      <c r="G65" s="18">
        <v>0.13221153846153846</v>
      </c>
      <c r="H65" s="19">
        <v>0.255</v>
      </c>
      <c r="I65" s="18">
        <v>0.76900000000000002</v>
      </c>
      <c r="J65" s="16">
        <v>173.9</v>
      </c>
      <c r="K65" s="18">
        <v>0.26100000000000001</v>
      </c>
      <c r="L65" s="20">
        <v>-23.03</v>
      </c>
      <c r="M65" s="18">
        <v>0.156</v>
      </c>
      <c r="N65" s="18">
        <v>0.20499999999999999</v>
      </c>
      <c r="O65" s="21">
        <v>6.9437499999999996</v>
      </c>
      <c r="P65" s="22">
        <v>15.685</v>
      </c>
      <c r="Q65" s="22">
        <v>2.4238426096078105</v>
      </c>
      <c r="R65" s="23">
        <v>50.994824611845885</v>
      </c>
      <c r="S65" s="18">
        <v>4.1533679927667273E-2</v>
      </c>
    </row>
    <row r="66" spans="1:19" x14ac:dyDescent="0.3">
      <c r="A66" s="1" t="s">
        <v>73</v>
      </c>
      <c r="B66" s="2">
        <v>46227</v>
      </c>
      <c r="C66" s="16">
        <v>422</v>
      </c>
      <c r="D66" s="16">
        <v>325</v>
      </c>
      <c r="E66" s="17">
        <v>0.29846153846153844</v>
      </c>
      <c r="F66" s="16">
        <v>75</v>
      </c>
      <c r="G66" s="18">
        <v>0.17772511848341233</v>
      </c>
      <c r="H66" s="19">
        <v>0.26500000000000001</v>
      </c>
      <c r="I66" s="18">
        <v>0.73399999999999999</v>
      </c>
      <c r="J66" s="16">
        <v>182.27</v>
      </c>
      <c r="K66" s="18">
        <v>0.28499999999999998</v>
      </c>
      <c r="L66" s="20">
        <v>-4.2199999999999989</v>
      </c>
      <c r="M66" s="18">
        <v>0.14899999999999999</v>
      </c>
      <c r="N66" s="18">
        <v>0.23</v>
      </c>
      <c r="O66" s="21">
        <v>7.0158767772511847</v>
      </c>
      <c r="P66" s="22">
        <v>14.6975</v>
      </c>
      <c r="Q66" s="22">
        <v>2.3768376253045167</v>
      </c>
      <c r="R66" s="23">
        <v>39.189115049102973</v>
      </c>
      <c r="S66" s="18">
        <v>1.485370292594148E-2</v>
      </c>
    </row>
    <row r="67" spans="1:19" x14ac:dyDescent="0.3">
      <c r="A67" s="1" t="s">
        <v>59</v>
      </c>
      <c r="B67" s="2">
        <v>46227</v>
      </c>
      <c r="C67" s="16">
        <v>423</v>
      </c>
      <c r="D67" s="16">
        <v>298</v>
      </c>
      <c r="E67" s="17">
        <v>0.41946308724832215</v>
      </c>
      <c r="F67" s="16">
        <v>114</v>
      </c>
      <c r="G67" s="18">
        <v>0.26950354609929078</v>
      </c>
      <c r="H67" s="19">
        <v>0.36399999999999999</v>
      </c>
      <c r="I67" s="18">
        <v>0.69299999999999995</v>
      </c>
      <c r="J67" s="16">
        <v>180.39</v>
      </c>
      <c r="K67" s="18">
        <v>0.29799999999999999</v>
      </c>
      <c r="L67" s="20">
        <v>-2.660000000000025</v>
      </c>
      <c r="M67" s="18">
        <v>0.16500000000000001</v>
      </c>
      <c r="N67" s="18">
        <v>0.11700000000000001</v>
      </c>
      <c r="O67" s="21">
        <v>7.1721040189125302</v>
      </c>
      <c r="P67" s="22">
        <v>16.352322738386309</v>
      </c>
      <c r="Q67" s="22">
        <v>2.3562361629882003</v>
      </c>
      <c r="R67" s="23">
        <v>50.296579633017352</v>
      </c>
      <c r="S67" s="18">
        <v>3.4527719607627023E-2</v>
      </c>
    </row>
    <row r="68" spans="1:19" x14ac:dyDescent="0.3">
      <c r="A68" s="1" t="s">
        <v>81</v>
      </c>
      <c r="B68" s="2">
        <v>46227</v>
      </c>
      <c r="C68" s="16">
        <v>427</v>
      </c>
      <c r="D68" s="16">
        <v>350</v>
      </c>
      <c r="E68" s="17">
        <v>0.22</v>
      </c>
      <c r="F68" s="16">
        <v>78</v>
      </c>
      <c r="G68" s="18">
        <v>0.18266978922716628</v>
      </c>
      <c r="H68" s="19">
        <v>0.20200000000000001</v>
      </c>
      <c r="I68" s="18">
        <v>0.68100000000000005</v>
      </c>
      <c r="J68" s="16">
        <v>179.85</v>
      </c>
      <c r="K68" s="18">
        <v>0.33600000000000002</v>
      </c>
      <c r="L68" s="20">
        <v>4</v>
      </c>
      <c r="M68" s="18">
        <v>7.6999999999999999E-2</v>
      </c>
      <c r="N68" s="18">
        <v>0.105</v>
      </c>
      <c r="O68" s="21">
        <v>3.2124121779859487</v>
      </c>
      <c r="P68" s="22">
        <v>16.309045226130653</v>
      </c>
      <c r="Q68" s="22">
        <v>2.4398939763741661</v>
      </c>
      <c r="R68" s="23">
        <v>49.368918543230471</v>
      </c>
      <c r="S68" s="18">
        <v>7.9907449209932285E-2</v>
      </c>
    </row>
    <row r="69" spans="1:19" x14ac:dyDescent="0.3">
      <c r="A69" s="1" t="s">
        <v>89</v>
      </c>
      <c r="B69" s="2">
        <v>46227</v>
      </c>
      <c r="C69" s="16">
        <v>427</v>
      </c>
      <c r="D69" s="16">
        <v>368</v>
      </c>
      <c r="E69" s="17">
        <v>0.16032608695652173</v>
      </c>
      <c r="F69" s="16">
        <v>57</v>
      </c>
      <c r="G69" s="18">
        <v>0.13348946135831383</v>
      </c>
      <c r="H69" s="19">
        <v>0.21199999999999999</v>
      </c>
      <c r="I69" s="18">
        <v>0.78</v>
      </c>
      <c r="J69" s="16">
        <v>205.87</v>
      </c>
      <c r="K69" s="18">
        <v>0.27100000000000002</v>
      </c>
      <c r="L69" s="20">
        <v>-25.769999999999982</v>
      </c>
      <c r="M69" s="18">
        <v>0.08</v>
      </c>
      <c r="N69" s="18">
        <v>2.5000000000000001E-2</v>
      </c>
      <c r="O69" s="21">
        <v>3.5444964871194378</v>
      </c>
      <c r="P69" s="22">
        <v>15.642260442260442</v>
      </c>
      <c r="Q69" s="22">
        <v>2.1319712413592065</v>
      </c>
      <c r="R69" s="23">
        <v>45.217855928498565</v>
      </c>
      <c r="S69" s="18">
        <v>2.4953271028037384E-2</v>
      </c>
    </row>
    <row r="70" spans="1:19" x14ac:dyDescent="0.3">
      <c r="A70" s="1" t="s">
        <v>82</v>
      </c>
      <c r="B70" s="2">
        <v>46227</v>
      </c>
      <c r="C70" s="16">
        <v>433</v>
      </c>
      <c r="D70" s="16">
        <v>351</v>
      </c>
      <c r="E70" s="17">
        <v>0.23361823361823361</v>
      </c>
      <c r="F70" s="16">
        <v>56</v>
      </c>
      <c r="G70" s="18">
        <v>0.12933025404157045</v>
      </c>
      <c r="H70" s="19">
        <v>0.19800000000000001</v>
      </c>
      <c r="I70" s="18">
        <v>0.66800000000000004</v>
      </c>
      <c r="J70" s="16">
        <v>196.45</v>
      </c>
      <c r="K70" s="18">
        <v>0.245</v>
      </c>
      <c r="L70" s="20">
        <v>19.579999999999984</v>
      </c>
      <c r="M70" s="18">
        <v>7.1999999999999995E-2</v>
      </c>
      <c r="N70" s="18">
        <v>1.0999999999999999E-2</v>
      </c>
      <c r="O70" s="21">
        <v>3.4244803695150114</v>
      </c>
      <c r="P70" s="22">
        <v>12.330317848410759</v>
      </c>
      <c r="Q70" s="22">
        <v>2.1832839549951721</v>
      </c>
      <c r="R70" s="23">
        <v>44.520234156273865</v>
      </c>
      <c r="S70" s="18">
        <v>5.0483649668419846E-2</v>
      </c>
    </row>
    <row r="71" spans="1:19" x14ac:dyDescent="0.3">
      <c r="A71" s="1" t="s">
        <v>79</v>
      </c>
      <c r="B71" s="2">
        <v>46227</v>
      </c>
      <c r="C71" s="16">
        <v>436</v>
      </c>
      <c r="D71" s="16">
        <v>349</v>
      </c>
      <c r="E71" s="17">
        <v>0.24928366762177651</v>
      </c>
      <c r="F71" s="16">
        <v>72</v>
      </c>
      <c r="G71" s="18">
        <v>0.16513761467889909</v>
      </c>
      <c r="H71" s="19">
        <v>0.42099999999999999</v>
      </c>
      <c r="I71" s="18">
        <v>0.78</v>
      </c>
      <c r="J71" s="16">
        <v>155.56</v>
      </c>
      <c r="K71" s="18">
        <v>0.26900000000000002</v>
      </c>
      <c r="L71" s="20">
        <v>-14.449999999999989</v>
      </c>
      <c r="M71" s="18">
        <v>7.5999999999999998E-2</v>
      </c>
      <c r="N71" s="18">
        <v>9.2999999999999999E-2</v>
      </c>
      <c r="O71" s="21">
        <v>3.7724770642201833</v>
      </c>
      <c r="P71" s="22">
        <v>14.858435207823963</v>
      </c>
      <c r="Q71" s="22">
        <v>2.8294779168178747</v>
      </c>
      <c r="R71" s="23">
        <v>60.446130110568269</v>
      </c>
      <c r="S71" s="18">
        <v>4.3970792026436417E-2</v>
      </c>
    </row>
    <row r="72" spans="1:19" x14ac:dyDescent="0.3">
      <c r="A72" s="1" t="s">
        <v>94</v>
      </c>
      <c r="B72" s="2">
        <v>46227</v>
      </c>
      <c r="C72" s="16">
        <v>439</v>
      </c>
      <c r="D72" s="16">
        <v>394</v>
      </c>
      <c r="E72" s="17">
        <v>0.11421319796954314</v>
      </c>
      <c r="F72" s="16">
        <v>74</v>
      </c>
      <c r="G72" s="18">
        <v>0.16856492027334852</v>
      </c>
      <c r="H72" s="19">
        <v>0.156</v>
      </c>
      <c r="I72" s="18">
        <v>0.64200000000000002</v>
      </c>
      <c r="J72" s="16">
        <v>212.55</v>
      </c>
      <c r="K72" s="18">
        <v>0.27500000000000002</v>
      </c>
      <c r="L72" s="20">
        <v>-4.2099999999999795</v>
      </c>
      <c r="M72" s="18">
        <v>0.20699999999999999</v>
      </c>
      <c r="N72" s="18">
        <v>0.20499999999999999</v>
      </c>
      <c r="O72" s="21">
        <v>8.4517084282460146</v>
      </c>
      <c r="P72" s="22">
        <v>16.711822660098523</v>
      </c>
      <c r="Q72" s="22">
        <v>2.1182598401894048</v>
      </c>
      <c r="R72" s="23">
        <v>42.093625029404841</v>
      </c>
      <c r="S72" s="18">
        <v>3.3505824372759854E-2</v>
      </c>
    </row>
    <row r="73" spans="1:19" x14ac:dyDescent="0.3">
      <c r="A73" s="1" t="s">
        <v>99</v>
      </c>
      <c r="B73" s="2">
        <v>46227</v>
      </c>
      <c r="C73" s="16">
        <v>445</v>
      </c>
      <c r="D73" s="16">
        <v>440</v>
      </c>
      <c r="E73" s="17">
        <v>1.1363636363636364E-2</v>
      </c>
      <c r="F73" s="16">
        <v>77</v>
      </c>
      <c r="G73" s="18">
        <v>0.17303370786516853</v>
      </c>
      <c r="H73" s="19">
        <v>0.32900000000000001</v>
      </c>
      <c r="I73" s="18">
        <v>0.76900000000000002</v>
      </c>
      <c r="J73" s="16">
        <v>231.83</v>
      </c>
      <c r="K73" s="18">
        <v>0.29499999999999998</v>
      </c>
      <c r="L73" s="20">
        <v>-40.159999999999997</v>
      </c>
      <c r="M73" s="18">
        <v>7.0000000000000007E-2</v>
      </c>
      <c r="N73" s="18">
        <v>5.8999999999999997E-2</v>
      </c>
      <c r="O73" s="21">
        <v>3.6853932584269664</v>
      </c>
      <c r="P73" s="22">
        <v>15.134433962264151</v>
      </c>
      <c r="Q73" s="22">
        <v>1.948303867052646</v>
      </c>
      <c r="R73" s="23">
        <v>41.193978346201959</v>
      </c>
      <c r="S73" s="18">
        <v>4.5697382198952884E-2</v>
      </c>
    </row>
    <row r="74" spans="1:19" x14ac:dyDescent="0.3">
      <c r="A74" s="1" t="s">
        <v>100</v>
      </c>
      <c r="B74" s="2">
        <v>46227</v>
      </c>
      <c r="C74" s="16">
        <v>458</v>
      </c>
      <c r="D74" s="16">
        <v>445</v>
      </c>
      <c r="E74" s="17">
        <v>2.9213483146067417E-2</v>
      </c>
      <c r="F74" s="16">
        <v>62</v>
      </c>
      <c r="G74" s="18">
        <v>0.13537117903930132</v>
      </c>
      <c r="H74" s="19">
        <v>0.254</v>
      </c>
      <c r="I74" s="18">
        <v>0.78200000000000003</v>
      </c>
      <c r="J74" s="16">
        <v>196.5</v>
      </c>
      <c r="K74" s="18">
        <v>0.25</v>
      </c>
      <c r="L74" s="20">
        <v>-45.02000000000001</v>
      </c>
      <c r="M74" s="18">
        <v>8.3000000000000004E-2</v>
      </c>
      <c r="N74" s="18">
        <v>8.1000000000000003E-2</v>
      </c>
      <c r="O74" s="21">
        <v>4.4692139737991265</v>
      </c>
      <c r="P74" s="22">
        <v>15.138584474885844</v>
      </c>
      <c r="Q74" s="22">
        <v>2.3534371866825854</v>
      </c>
      <c r="R74" s="23">
        <v>50.091603053435115</v>
      </c>
      <c r="S74" s="18">
        <v>4.6383216499034846E-2</v>
      </c>
    </row>
    <row r="75" spans="1:19" x14ac:dyDescent="0.3">
      <c r="A75" s="1" t="s">
        <v>96</v>
      </c>
      <c r="B75" s="2">
        <v>46227</v>
      </c>
      <c r="C75" s="16">
        <v>463</v>
      </c>
      <c r="D75" s="16">
        <v>418</v>
      </c>
      <c r="E75" s="17">
        <v>0.1076555023923445</v>
      </c>
      <c r="F75" s="16">
        <v>92</v>
      </c>
      <c r="G75" s="18">
        <v>0.19870410367170627</v>
      </c>
      <c r="H75" s="19">
        <v>0.248</v>
      </c>
      <c r="I75" s="18">
        <v>0.754</v>
      </c>
      <c r="J75" s="16">
        <v>192.42</v>
      </c>
      <c r="K75" s="18">
        <v>0.27500000000000002</v>
      </c>
      <c r="L75" s="20">
        <v>-6.410000000000025</v>
      </c>
      <c r="M75" s="18">
        <v>0.21</v>
      </c>
      <c r="N75" s="18">
        <v>0.26300000000000001</v>
      </c>
      <c r="O75" s="21">
        <v>8.8138228941684673</v>
      </c>
      <c r="P75" s="22">
        <v>15.810416666666667</v>
      </c>
      <c r="Q75" s="22">
        <v>2.4678124022334327</v>
      </c>
      <c r="R75" s="23">
        <v>49.776530506184393</v>
      </c>
      <c r="S75" s="18">
        <v>3.4999476823270904E-2</v>
      </c>
    </row>
    <row r="76" spans="1:19" x14ac:dyDescent="0.3">
      <c r="A76" s="1" t="s">
        <v>92</v>
      </c>
      <c r="B76" s="2">
        <v>46227</v>
      </c>
      <c r="C76" s="16">
        <v>464</v>
      </c>
      <c r="D76" s="16">
        <v>391</v>
      </c>
      <c r="E76" s="17">
        <v>0.1867007672634271</v>
      </c>
      <c r="F76" s="16">
        <v>79</v>
      </c>
      <c r="G76" s="18">
        <v>0.17025862068965517</v>
      </c>
      <c r="H76" s="19">
        <v>0.14599999999999999</v>
      </c>
      <c r="I76" s="18">
        <v>0.626</v>
      </c>
      <c r="J76" s="16">
        <v>224.71</v>
      </c>
      <c r="K76" s="18">
        <v>0.23400000000000001</v>
      </c>
      <c r="L76" s="20">
        <v>9.2900000000000205</v>
      </c>
      <c r="M76" s="18">
        <v>0.125</v>
      </c>
      <c r="N76" s="18">
        <v>3.7999999999999999E-2</v>
      </c>
      <c r="O76" s="21">
        <v>5.3209051724137932</v>
      </c>
      <c r="P76" s="22">
        <v>15.055555555555555</v>
      </c>
      <c r="Q76" s="22">
        <v>2.0729575400982676</v>
      </c>
      <c r="R76" s="23">
        <v>42.356815451025767</v>
      </c>
      <c r="S76" s="18">
        <v>6.4173145618827476E-2</v>
      </c>
    </row>
    <row r="77" spans="1:19" x14ac:dyDescent="0.3">
      <c r="A77" s="1" t="s">
        <v>93</v>
      </c>
      <c r="B77" s="2">
        <v>46227</v>
      </c>
      <c r="C77" s="16">
        <v>470</v>
      </c>
      <c r="D77" s="16">
        <v>392</v>
      </c>
      <c r="E77" s="17">
        <v>0.19897959183673469</v>
      </c>
      <c r="F77" s="16">
        <v>88</v>
      </c>
      <c r="G77" s="18">
        <v>0.18723404255319148</v>
      </c>
      <c r="H77" s="19">
        <v>0.245</v>
      </c>
      <c r="I77" s="18">
        <v>0.72599999999999998</v>
      </c>
      <c r="J77" s="16">
        <v>190.93</v>
      </c>
      <c r="K77" s="18">
        <v>0.26100000000000001</v>
      </c>
      <c r="L77" s="20">
        <v>-37.629999999999995</v>
      </c>
      <c r="M77" s="18">
        <v>0.155</v>
      </c>
      <c r="N77" s="18">
        <v>0.21099999999999999</v>
      </c>
      <c r="O77" s="21">
        <v>6.1414893617021278</v>
      </c>
      <c r="P77" s="22">
        <v>13.708053691275168</v>
      </c>
      <c r="Q77" s="22">
        <v>2.5201726659780825</v>
      </c>
      <c r="R77" s="23">
        <v>49.541716859582046</v>
      </c>
      <c r="S77" s="18">
        <v>6.4334150762341405E-2</v>
      </c>
    </row>
    <row r="78" spans="1:19" x14ac:dyDescent="0.3">
      <c r="A78" s="1" t="s">
        <v>95</v>
      </c>
      <c r="B78" s="2">
        <v>46227</v>
      </c>
      <c r="C78" s="16">
        <v>490</v>
      </c>
      <c r="D78" s="16">
        <v>394</v>
      </c>
      <c r="E78" s="17">
        <v>0.24365482233502539</v>
      </c>
      <c r="F78" s="16">
        <v>80</v>
      </c>
      <c r="G78" s="18">
        <v>0.16326530612244897</v>
      </c>
      <c r="H78" s="19">
        <v>0.185</v>
      </c>
      <c r="I78" s="18">
        <v>0.748</v>
      </c>
      <c r="J78" s="16">
        <v>205.93</v>
      </c>
      <c r="K78" s="18">
        <v>0.28699999999999998</v>
      </c>
      <c r="L78" s="20">
        <v>30.140000000000015</v>
      </c>
      <c r="M78" s="18">
        <v>8.7999999999999995E-2</v>
      </c>
      <c r="N78" s="18">
        <v>4.5999999999999999E-2</v>
      </c>
      <c r="O78" s="21">
        <v>4.4008163265306122</v>
      </c>
      <c r="P78" s="22">
        <v>14.015859030837005</v>
      </c>
      <c r="Q78" s="22">
        <v>2.4345476095221001</v>
      </c>
      <c r="R78" s="23">
        <v>49.725634924488901</v>
      </c>
      <c r="S78" s="18">
        <v>3.8188668167139644E-2</v>
      </c>
    </row>
    <row r="79" spans="1:19" x14ac:dyDescent="0.3">
      <c r="A79" s="1" t="s">
        <v>87</v>
      </c>
      <c r="B79" s="2">
        <v>46227</v>
      </c>
      <c r="C79" s="16">
        <v>506</v>
      </c>
      <c r="D79" s="16">
        <v>365</v>
      </c>
      <c r="E79" s="17">
        <v>0.38630136986301372</v>
      </c>
      <c r="F79" s="16">
        <v>113</v>
      </c>
      <c r="G79" s="18">
        <v>0.22332015810276679</v>
      </c>
      <c r="H79" s="19">
        <v>0.14199999999999999</v>
      </c>
      <c r="I79" s="18">
        <v>0.56399999999999995</v>
      </c>
      <c r="J79" s="16">
        <v>209.71</v>
      </c>
      <c r="K79" s="18">
        <v>0.26100000000000001</v>
      </c>
      <c r="L79" s="20">
        <v>24.990000000000009</v>
      </c>
      <c r="M79" s="18">
        <v>0.22500000000000001</v>
      </c>
      <c r="N79" s="18">
        <v>0.113</v>
      </c>
      <c r="O79" s="21">
        <v>9.6547430830039538</v>
      </c>
      <c r="P79" s="22">
        <v>16.032473118279572</v>
      </c>
      <c r="Q79" s="22">
        <v>2.5298166278971896</v>
      </c>
      <c r="R79" s="23">
        <v>50.55552906394545</v>
      </c>
      <c r="S79" s="18">
        <v>2.5686662893793621E-2</v>
      </c>
    </row>
    <row r="80" spans="1:19" x14ac:dyDescent="0.3">
      <c r="A80" s="1" t="s">
        <v>101</v>
      </c>
      <c r="B80" s="2">
        <v>46227</v>
      </c>
      <c r="C80" s="16">
        <v>512</v>
      </c>
      <c r="D80" s="16">
        <v>465</v>
      </c>
      <c r="E80" s="17">
        <v>0.1010752688172043</v>
      </c>
      <c r="F80" s="16">
        <v>100</v>
      </c>
      <c r="G80" s="18">
        <v>0.1953125</v>
      </c>
      <c r="H80" s="19">
        <v>0.255</v>
      </c>
      <c r="I80" s="18">
        <v>0.72299999999999998</v>
      </c>
      <c r="J80" s="16">
        <v>235.1</v>
      </c>
      <c r="K80" s="18">
        <v>0.33600000000000002</v>
      </c>
      <c r="L80" s="20">
        <v>-19.150000000000006</v>
      </c>
      <c r="M80" s="18">
        <v>0.121</v>
      </c>
      <c r="N80" s="18">
        <v>0.106</v>
      </c>
      <c r="O80" s="21">
        <v>5.6552734375</v>
      </c>
      <c r="P80" s="22">
        <v>14.652915766738662</v>
      </c>
      <c r="Q80" s="22">
        <v>2.2745874994293773</v>
      </c>
      <c r="R80" s="23">
        <v>46.592939174819229</v>
      </c>
      <c r="S80" s="18">
        <v>3.5160523186682523E-2</v>
      </c>
    </row>
    <row r="81" spans="1:19" x14ac:dyDescent="0.3">
      <c r="A81" s="1" t="s">
        <v>91</v>
      </c>
      <c r="B81" s="2">
        <v>46227</v>
      </c>
      <c r="C81" s="16">
        <v>516</v>
      </c>
      <c r="D81" s="16">
        <v>383</v>
      </c>
      <c r="E81" s="17">
        <v>0.3472584856396867</v>
      </c>
      <c r="F81" s="16">
        <v>84</v>
      </c>
      <c r="G81" s="18">
        <v>0.16279069767441862</v>
      </c>
      <c r="H81" s="19">
        <v>0.33300000000000002</v>
      </c>
      <c r="I81" s="18">
        <v>0.746</v>
      </c>
      <c r="J81" s="16">
        <v>208.52</v>
      </c>
      <c r="K81" s="18">
        <v>0.27200000000000002</v>
      </c>
      <c r="L81" s="20">
        <v>10.960000000000008</v>
      </c>
      <c r="M81" s="18">
        <v>0.11799999999999999</v>
      </c>
      <c r="N81" s="18">
        <v>0.12</v>
      </c>
      <c r="O81" s="21">
        <v>4.9831395348837209</v>
      </c>
      <c r="P81" s="22">
        <v>12.400423728813559</v>
      </c>
      <c r="Q81" s="22">
        <v>2.5560316726029582</v>
      </c>
      <c r="R81" s="23">
        <v>48.177632840974482</v>
      </c>
      <c r="S81" s="18">
        <v>1.5470682090147585E-2</v>
      </c>
    </row>
    <row r="82" spans="1:19" x14ac:dyDescent="0.3">
      <c r="A82" s="1" t="s">
        <v>97</v>
      </c>
      <c r="B82" s="2">
        <v>46227</v>
      </c>
      <c r="C82" s="16">
        <v>520</v>
      </c>
      <c r="D82" s="16">
        <v>427</v>
      </c>
      <c r="E82" s="17">
        <v>0.21779859484777517</v>
      </c>
      <c r="F82" s="16">
        <v>125</v>
      </c>
      <c r="G82" s="18">
        <v>0.24038461538461539</v>
      </c>
      <c r="H82" s="19">
        <v>0.22700000000000001</v>
      </c>
      <c r="I82" s="18">
        <v>0.67500000000000004</v>
      </c>
      <c r="J82" s="16">
        <v>209.38</v>
      </c>
      <c r="K82" s="18">
        <v>0.26300000000000001</v>
      </c>
      <c r="L82" s="20">
        <v>17.5</v>
      </c>
      <c r="M82" s="18">
        <v>0.16900000000000001</v>
      </c>
      <c r="N82" s="18">
        <v>0.14499999999999999</v>
      </c>
      <c r="O82" s="21">
        <v>7.3073076923076927</v>
      </c>
      <c r="P82" s="22">
        <v>13.327926078028748</v>
      </c>
      <c r="Q82" s="22">
        <v>2.5208895058361729</v>
      </c>
      <c r="R82" s="23">
        <v>53.066195434138891</v>
      </c>
      <c r="S82" s="18">
        <v>2.8359635674993239E-2</v>
      </c>
    </row>
    <row r="83" spans="1:19" x14ac:dyDescent="0.3">
      <c r="A83" s="1" t="s">
        <v>104</v>
      </c>
      <c r="B83" s="2">
        <v>46227</v>
      </c>
      <c r="C83" s="16">
        <v>531</v>
      </c>
      <c r="D83" s="16">
        <v>491</v>
      </c>
      <c r="E83" s="17">
        <v>8.1466395112016296E-2</v>
      </c>
      <c r="F83" s="16">
        <v>72</v>
      </c>
      <c r="G83" s="18">
        <v>0.13559322033898305</v>
      </c>
      <c r="H83" s="19">
        <v>0.27400000000000002</v>
      </c>
      <c r="I83" s="18">
        <v>0.76</v>
      </c>
      <c r="J83" s="16">
        <v>254.75</v>
      </c>
      <c r="K83" s="18">
        <v>0.24099999999999999</v>
      </c>
      <c r="L83" s="20">
        <v>-9.0000000000003411E-2</v>
      </c>
      <c r="M83" s="18">
        <v>7.9000000000000001E-2</v>
      </c>
      <c r="N83" s="18">
        <v>7.4999999999999997E-2</v>
      </c>
      <c r="O83" s="21">
        <v>3.9160075329566855</v>
      </c>
      <c r="P83" s="22">
        <v>12.896356275303644</v>
      </c>
      <c r="Q83" s="22">
        <v>2.0721616735579995</v>
      </c>
      <c r="R83" s="23">
        <v>43.560353287536799</v>
      </c>
      <c r="S83" s="18">
        <v>2.18236092265943E-2</v>
      </c>
    </row>
    <row r="84" spans="1:19" x14ac:dyDescent="0.3">
      <c r="A84" s="1" t="s">
        <v>98</v>
      </c>
      <c r="B84" s="2">
        <v>46227</v>
      </c>
      <c r="C84" s="16">
        <v>538</v>
      </c>
      <c r="D84" s="16">
        <v>428</v>
      </c>
      <c r="E84" s="17">
        <v>0.2570093457943925</v>
      </c>
      <c r="F84" s="16">
        <v>71</v>
      </c>
      <c r="G84" s="18">
        <v>0.13197026022304834</v>
      </c>
      <c r="H84" s="19">
        <v>0.20799999999999999</v>
      </c>
      <c r="I84" s="18">
        <v>0.75600000000000001</v>
      </c>
      <c r="J84" s="16">
        <v>216.82</v>
      </c>
      <c r="K84" s="18">
        <v>0.28399999999999997</v>
      </c>
      <c r="L84" s="20">
        <v>3.3199999999999932</v>
      </c>
      <c r="M84" s="18">
        <v>0.125</v>
      </c>
      <c r="N84" s="18">
        <v>9.0999999999999998E-2</v>
      </c>
      <c r="O84" s="21">
        <v>5.7118959107806688</v>
      </c>
      <c r="P84" s="22">
        <v>13.41984282907662</v>
      </c>
      <c r="Q84" s="22">
        <v>2.536445914291436</v>
      </c>
      <c r="R84" s="23">
        <v>50.88091504473757</v>
      </c>
      <c r="S84" s="18">
        <v>4.8290800108981929E-2</v>
      </c>
    </row>
    <row r="85" spans="1:19" x14ac:dyDescent="0.3">
      <c r="A85" s="1" t="s">
        <v>102</v>
      </c>
      <c r="B85" s="2">
        <v>46227</v>
      </c>
      <c r="C85" s="16">
        <v>558</v>
      </c>
      <c r="D85" s="16">
        <v>466</v>
      </c>
      <c r="E85" s="17">
        <v>0.19742489270386265</v>
      </c>
      <c r="F85" s="16">
        <v>104</v>
      </c>
      <c r="G85" s="18">
        <v>0.1863799283154122</v>
      </c>
      <c r="H85" s="19">
        <v>0.19500000000000001</v>
      </c>
      <c r="I85" s="18">
        <v>0.68899999999999995</v>
      </c>
      <c r="J85" s="16">
        <v>208.89</v>
      </c>
      <c r="K85" s="18">
        <v>0.26200000000000001</v>
      </c>
      <c r="L85" s="20">
        <v>-1.7700000000000102</v>
      </c>
      <c r="M85" s="18">
        <v>8.7999999999999995E-2</v>
      </c>
      <c r="N85" s="18">
        <v>6.8000000000000005E-2</v>
      </c>
      <c r="O85" s="21">
        <v>4.6193548387096772</v>
      </c>
      <c r="P85" s="22">
        <v>12.475568181818183</v>
      </c>
      <c r="Q85" s="22">
        <v>2.671191777873589</v>
      </c>
      <c r="R85" s="23">
        <v>56.158743836468958</v>
      </c>
      <c r="S85" s="18">
        <v>5.2819878953200922E-2</v>
      </c>
    </row>
    <row r="86" spans="1:19" x14ac:dyDescent="0.3">
      <c r="A86" s="1" t="s">
        <v>22</v>
      </c>
      <c r="B86" s="2">
        <v>46227</v>
      </c>
      <c r="C86" s="8">
        <v>567</v>
      </c>
      <c r="D86" s="8">
        <v>175</v>
      </c>
      <c r="E86" s="9">
        <v>2.2400000000000002</v>
      </c>
      <c r="F86" s="8">
        <v>82</v>
      </c>
      <c r="G86" s="10">
        <v>0.14462081128747795</v>
      </c>
      <c r="H86" s="11">
        <v>0.253</v>
      </c>
      <c r="I86" s="10">
        <v>0.78300000000000003</v>
      </c>
      <c r="J86" s="8">
        <v>204.08</v>
      </c>
      <c r="K86" s="10">
        <v>0.30599999999999999</v>
      </c>
      <c r="L86" s="12">
        <v>-16.839999999999975</v>
      </c>
      <c r="M86" s="10">
        <v>9.7000000000000003E-2</v>
      </c>
      <c r="N86" s="10">
        <v>6.6000000000000003E-2</v>
      </c>
      <c r="O86" s="13">
        <v>5.450793650793651</v>
      </c>
      <c r="P86" s="14">
        <v>14.088246268656716</v>
      </c>
      <c r="Q86" s="14">
        <v>2.8415806306060145</v>
      </c>
      <c r="R86" s="15">
        <v>58.295766366130927</v>
      </c>
      <c r="S86" s="10">
        <v>5.556416301785113E-2</v>
      </c>
    </row>
    <row r="87" spans="1:19" x14ac:dyDescent="0.3">
      <c r="A87" s="1" t="s">
        <v>22</v>
      </c>
      <c r="B87" s="2">
        <v>46227</v>
      </c>
      <c r="C87" s="16">
        <v>567</v>
      </c>
      <c r="D87" s="16">
        <v>175</v>
      </c>
      <c r="E87" s="17">
        <v>2.2400000000000002</v>
      </c>
      <c r="F87" s="16">
        <v>82</v>
      </c>
      <c r="G87" s="18">
        <v>0.14462081128747795</v>
      </c>
      <c r="H87" s="19">
        <v>0.253</v>
      </c>
      <c r="I87" s="18">
        <v>0.78300000000000003</v>
      </c>
      <c r="J87" s="16">
        <v>204.08</v>
      </c>
      <c r="K87" s="18">
        <v>0.30599999999999999</v>
      </c>
      <c r="L87" s="20">
        <v>-16.839999999999975</v>
      </c>
      <c r="M87" s="18">
        <v>9.7000000000000003E-2</v>
      </c>
      <c r="N87" s="18">
        <v>6.6000000000000003E-2</v>
      </c>
      <c r="O87" s="21">
        <v>5.450793650793651</v>
      </c>
      <c r="P87" s="22">
        <v>14.088246268656716</v>
      </c>
      <c r="Q87" s="22">
        <v>2.8415806306060145</v>
      </c>
      <c r="R87" s="23">
        <v>58.295766366130927</v>
      </c>
      <c r="S87" s="18">
        <v>5.556416301785113E-2</v>
      </c>
    </row>
    <row r="88" spans="1:19" x14ac:dyDescent="0.3">
      <c r="A88" s="1" t="s">
        <v>105</v>
      </c>
      <c r="B88" s="2">
        <v>46227</v>
      </c>
      <c r="C88" s="16">
        <v>578</v>
      </c>
      <c r="D88" s="16">
        <v>506</v>
      </c>
      <c r="E88" s="17">
        <v>0.14229249011857709</v>
      </c>
      <c r="F88" s="16">
        <v>70</v>
      </c>
      <c r="G88" s="18">
        <v>0.12110726643598616</v>
      </c>
      <c r="H88" s="19">
        <v>0.25</v>
      </c>
      <c r="I88" s="18">
        <v>0.79</v>
      </c>
      <c r="J88" s="16">
        <v>229.51</v>
      </c>
      <c r="K88" s="18">
        <v>0.27500000000000002</v>
      </c>
      <c r="L88" s="20">
        <v>3.2399999999999807</v>
      </c>
      <c r="M88" s="18">
        <v>9.9000000000000005E-2</v>
      </c>
      <c r="N88" s="18">
        <v>3.5000000000000003E-2</v>
      </c>
      <c r="O88" s="21">
        <v>5.2716262975778543</v>
      </c>
      <c r="P88" s="22">
        <v>15.112746858168761</v>
      </c>
      <c r="Q88" s="22">
        <v>2.541867360466004</v>
      </c>
      <c r="R88" s="23">
        <v>51.657879830944189</v>
      </c>
      <c r="S88" s="18">
        <v>4.2659412955465582E-2</v>
      </c>
    </row>
    <row r="89" spans="1:19" x14ac:dyDescent="0.3">
      <c r="A89" s="1" t="s">
        <v>106</v>
      </c>
      <c r="B89" s="2">
        <v>46227</v>
      </c>
      <c r="C89" s="16">
        <v>586</v>
      </c>
      <c r="D89" s="16">
        <v>507</v>
      </c>
      <c r="E89" s="17">
        <v>0.15581854043392504</v>
      </c>
      <c r="F89" s="16">
        <v>121</v>
      </c>
      <c r="G89" s="18">
        <v>0.20648464163822525</v>
      </c>
      <c r="H89" s="19">
        <v>0.248</v>
      </c>
      <c r="I89" s="18">
        <v>0.66700000000000004</v>
      </c>
      <c r="J89" s="16">
        <v>270.12</v>
      </c>
      <c r="K89" s="18">
        <v>0.308</v>
      </c>
      <c r="L89" s="20">
        <v>15.420000000000016</v>
      </c>
      <c r="M89" s="18">
        <v>0.106</v>
      </c>
      <c r="N89" s="18">
        <v>0.153</v>
      </c>
      <c r="O89" s="21">
        <v>5.3708191126279869</v>
      </c>
      <c r="P89" s="22">
        <v>15.883271375464686</v>
      </c>
      <c r="Q89" s="22">
        <v>2.2756986496357445</v>
      </c>
      <c r="R89" s="23">
        <v>38.223752406337923</v>
      </c>
      <c r="S89" s="18">
        <v>2.3252214542976737E-2</v>
      </c>
    </row>
    <row r="90" spans="1:19" x14ac:dyDescent="0.3">
      <c r="A90" s="1" t="s">
        <v>103</v>
      </c>
      <c r="B90" s="2">
        <v>46227</v>
      </c>
      <c r="C90" s="16">
        <v>619</v>
      </c>
      <c r="D90" s="16">
        <v>469</v>
      </c>
      <c r="E90" s="17">
        <v>0.31982942430703626</v>
      </c>
      <c r="F90" s="16">
        <v>94</v>
      </c>
      <c r="G90" s="18">
        <v>0.15185783521809371</v>
      </c>
      <c r="H90" s="19">
        <v>0.153</v>
      </c>
      <c r="I90" s="18">
        <v>0.65600000000000003</v>
      </c>
      <c r="J90" s="16">
        <v>276.44</v>
      </c>
      <c r="K90" s="18">
        <v>0.23699999999999999</v>
      </c>
      <c r="L90" s="20">
        <v>29.009999999999991</v>
      </c>
      <c r="M90" s="18">
        <v>9.9000000000000005E-2</v>
      </c>
      <c r="N90" s="18">
        <v>0.21099999999999999</v>
      </c>
      <c r="O90" s="21">
        <v>4.6583198707592892</v>
      </c>
      <c r="P90" s="22">
        <v>15.43986371379898</v>
      </c>
      <c r="Q90" s="22">
        <v>2.3251098129220797</v>
      </c>
      <c r="R90" s="23">
        <v>38.731732021415134</v>
      </c>
      <c r="S90" s="18">
        <v>2.7443080670851681E-2</v>
      </c>
    </row>
    <row r="91" spans="1:19" x14ac:dyDescent="0.3">
      <c r="A91" s="1" t="s">
        <v>109</v>
      </c>
      <c r="B91" s="2">
        <v>46227</v>
      </c>
      <c r="C91" s="16">
        <v>621</v>
      </c>
      <c r="D91" s="16">
        <v>574</v>
      </c>
      <c r="E91" s="17">
        <v>8.188153310104529E-2</v>
      </c>
      <c r="F91" s="16">
        <v>71</v>
      </c>
      <c r="G91" s="18">
        <v>0.1143317230273752</v>
      </c>
      <c r="H91" s="19">
        <v>0.23200000000000001</v>
      </c>
      <c r="I91" s="18">
        <v>0.70199999999999996</v>
      </c>
      <c r="J91" s="16">
        <v>307.52999999999997</v>
      </c>
      <c r="K91" s="18">
        <v>0.23300000000000001</v>
      </c>
      <c r="L91" s="20">
        <v>-33.090000000000032</v>
      </c>
      <c r="M91" s="18">
        <v>6.0999999999999999E-2</v>
      </c>
      <c r="N91" s="18">
        <v>0.02</v>
      </c>
      <c r="O91" s="21">
        <v>3.9046698872785832</v>
      </c>
      <c r="P91" s="22">
        <v>14.739145299145299</v>
      </c>
      <c r="Q91" s="22">
        <v>2.0536808849775321</v>
      </c>
      <c r="R91" s="23">
        <v>38.92628361460671</v>
      </c>
      <c r="S91" s="18">
        <v>2.1846412085606379E-2</v>
      </c>
    </row>
    <row r="92" spans="1:19" x14ac:dyDescent="0.3">
      <c r="A92" s="1" t="s">
        <v>107</v>
      </c>
      <c r="B92" s="2">
        <v>46227</v>
      </c>
      <c r="C92" s="16">
        <v>633</v>
      </c>
      <c r="D92" s="16">
        <v>522</v>
      </c>
      <c r="E92" s="17">
        <v>0.21264367816091953</v>
      </c>
      <c r="F92" s="16">
        <v>95</v>
      </c>
      <c r="G92" s="18">
        <v>0.1500789889415482</v>
      </c>
      <c r="H92" s="19">
        <v>0.18099999999999999</v>
      </c>
      <c r="I92" s="18">
        <v>0.63200000000000001</v>
      </c>
      <c r="J92" s="16">
        <v>308.89</v>
      </c>
      <c r="K92" s="18">
        <v>0.23699999999999999</v>
      </c>
      <c r="L92" s="20">
        <v>-16.490000000000009</v>
      </c>
      <c r="M92" s="18">
        <v>0.29099999999999998</v>
      </c>
      <c r="N92" s="18">
        <v>0.45300000000000001</v>
      </c>
      <c r="O92" s="21">
        <v>11.814218009478672</v>
      </c>
      <c r="P92" s="22">
        <v>17.627966101694916</v>
      </c>
      <c r="Q92" s="22">
        <v>2.1328042972766896</v>
      </c>
      <c r="R92" s="23">
        <v>35.501311146362788</v>
      </c>
      <c r="S92" s="18">
        <v>1.8199671172816952E-2</v>
      </c>
    </row>
    <row r="93" spans="1:19" s="7" customFormat="1" x14ac:dyDescent="0.3">
      <c r="A93" s="1" t="s">
        <v>108</v>
      </c>
      <c r="B93" s="2">
        <v>46227</v>
      </c>
      <c r="C93" s="16">
        <v>676</v>
      </c>
      <c r="D93" s="16">
        <v>539</v>
      </c>
      <c r="E93" s="17">
        <v>0.25417439703153988</v>
      </c>
      <c r="F93" s="16">
        <v>136</v>
      </c>
      <c r="G93" s="18">
        <v>0.20118343195266272</v>
      </c>
      <c r="H93" s="19">
        <v>0.183</v>
      </c>
      <c r="I93" s="18">
        <v>0.72499999999999998</v>
      </c>
      <c r="J93" s="16">
        <v>256.31</v>
      </c>
      <c r="K93" s="18">
        <v>0.30199999999999999</v>
      </c>
      <c r="L93" s="20">
        <v>19.039999999999992</v>
      </c>
      <c r="M93" s="18">
        <v>7.4999999999999997E-2</v>
      </c>
      <c r="N93" s="18">
        <v>5.5E-2</v>
      </c>
      <c r="O93" s="21">
        <v>4.4146449704142015</v>
      </c>
      <c r="P93" s="22">
        <v>14.79921875</v>
      </c>
      <c r="Q93" s="22">
        <v>2.6894927628683694</v>
      </c>
      <c r="R93" s="23">
        <v>54.227302875424293</v>
      </c>
      <c r="S93" s="18">
        <v>3.1845732015296918E-2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E450D-1F63-4D1A-8B11-93D491F23ED8}">
  <dimension ref="A1:M44"/>
  <sheetViews>
    <sheetView workbookViewId="0">
      <pane xSplit="1" topLeftCell="D1" activePane="topRight" state="frozen"/>
      <selection pane="topRight" activeCell="A31" sqref="A31:M31"/>
    </sheetView>
  </sheetViews>
  <sheetFormatPr defaultRowHeight="14.4" x14ac:dyDescent="0.3"/>
  <cols>
    <col min="1" max="1" width="45.44140625" customWidth="1"/>
    <col min="2" max="2" width="13.88671875" style="43" hidden="1" customWidth="1"/>
    <col min="3" max="3" width="5.21875" style="43" hidden="1" customWidth="1"/>
    <col min="4" max="5" width="13.33203125" customWidth="1"/>
    <col min="6" max="6" width="16.109375" customWidth="1"/>
    <col min="7" max="8" width="13.33203125" customWidth="1"/>
    <col min="9" max="9" width="20.21875" customWidth="1"/>
    <col min="10" max="11" width="13.33203125" customWidth="1"/>
    <col min="12" max="13" width="13.33203125" style="20" customWidth="1"/>
  </cols>
  <sheetData>
    <row r="1" spans="1:13" ht="18" x14ac:dyDescent="0.35">
      <c r="A1" s="50" t="s">
        <v>110</v>
      </c>
    </row>
    <row r="2" spans="1:13" x14ac:dyDescent="0.3">
      <c r="A2" s="42" t="s">
        <v>121</v>
      </c>
    </row>
    <row r="3" spans="1:13" x14ac:dyDescent="0.3">
      <c r="D3" s="58" t="s">
        <v>19</v>
      </c>
      <c r="E3" s="58"/>
      <c r="F3" s="59" t="s">
        <v>48</v>
      </c>
      <c r="G3" s="60"/>
      <c r="H3" s="58" t="s">
        <v>21</v>
      </c>
      <c r="I3" s="58"/>
      <c r="J3" s="59" t="s">
        <v>76</v>
      </c>
      <c r="K3" s="60"/>
      <c r="L3" s="56" t="s">
        <v>127</v>
      </c>
      <c r="M3" s="57"/>
    </row>
    <row r="4" spans="1:13" x14ac:dyDescent="0.3">
      <c r="A4" s="44" t="s">
        <v>111</v>
      </c>
      <c r="B4" s="45" t="s">
        <v>112</v>
      </c>
      <c r="C4" s="45" t="s">
        <v>113</v>
      </c>
      <c r="D4" s="46" t="s">
        <v>114</v>
      </c>
      <c r="E4" s="46" t="s">
        <v>115</v>
      </c>
      <c r="F4" s="51" t="s">
        <v>114</v>
      </c>
      <c r="G4" s="52" t="s">
        <v>115</v>
      </c>
      <c r="H4" s="46" t="s">
        <v>114</v>
      </c>
      <c r="I4" s="46" t="s">
        <v>115</v>
      </c>
      <c r="J4" s="51" t="s">
        <v>114</v>
      </c>
      <c r="K4" s="52" t="s">
        <v>115</v>
      </c>
      <c r="L4" s="46" t="s">
        <v>128</v>
      </c>
      <c r="M4" s="46" t="s">
        <v>129</v>
      </c>
    </row>
    <row r="5" spans="1:13" x14ac:dyDescent="0.3">
      <c r="A5" t="s">
        <v>2</v>
      </c>
      <c r="B5" s="43">
        <v>3</v>
      </c>
      <c r="C5" s="43">
        <v>0</v>
      </c>
      <c r="D5" s="8" cm="1">
        <f t="array" ref="D5">IF(INDEX(Export!$A$2:$S$93,MATCH(D$3,Export!$A$2:$A$93,0),$B5)="","n/a",INDEX(Export!$A$2:$S$93,MATCH(D$3,Export!$A$2:$A$93,0),$B5))</f>
        <v>245</v>
      </c>
      <c r="E5" s="61">
        <f>IFERROR(_xlfn.RANK.EQ(D5,INDEX(Export!$C$2:$S$93,0,$B5-2),$C5),"n/a")</f>
        <v>86</v>
      </c>
      <c r="F5" s="62" cm="1">
        <f t="array" ref="F5">IF(INDEX(Export!$A$2:$S$93,MATCH(F$3,Export!$A$2:$A$93,0),$B5)="","n/a",INDEX(Export!$A$2:$S$93,MATCH(F$3,Export!$A$2:$A$93,0),$B5))</f>
        <v>406</v>
      </c>
      <c r="G5" s="63">
        <f>IFERROR(_xlfn.RANK.EQ(F5,INDEX(Export!$C$2:$S$93,0,$B5-2),$C5),"n/a")</f>
        <v>34</v>
      </c>
      <c r="H5" s="8" cm="1">
        <f t="array" ref="H5">IF(INDEX(Export!$A$2:$S$93,MATCH(H$3,Export!$A$2:$A$93,0),$B5)="","n/a",INDEX(Export!$A$2:$S$93,MATCH(H$3,Export!$A$2:$A$93,0),$B5))</f>
        <v>195</v>
      </c>
      <c r="I5" s="61">
        <f>IFERROR(_xlfn.RANK.EQ(H5,INDEX(Export!$C$2:$S$93,0,$B5-2),$C5),"n/a")</f>
        <v>91</v>
      </c>
      <c r="J5" s="62" cm="1">
        <f t="array" ref="J5">IF(INDEX(Export!$A$2:$S$93,MATCH(J$3,Export!$A$2:$A$93,0),$B5)="","n/a",INDEX(Export!$A$2:$S$93,MATCH(J$3,Export!$A$2:$A$93,0),$B5))</f>
        <v>394</v>
      </c>
      <c r="K5" s="63">
        <f>IFERROR(_xlfn.RANK.EQ(J5,INDEX(Export!$C$2:$S$93,0,$B5-2),$C5),"n/a")</f>
        <v>37</v>
      </c>
      <c r="L5" s="16">
        <f>AVERAGE(INDEX(Export!$C$2:$S$93,0,$B5-2))</f>
        <v>380.69565217391306</v>
      </c>
      <c r="M5" s="16">
        <f>MEDIAN(INDEX(Export!$C$2:$S$93,0,$B5-2))</f>
        <v>363.5</v>
      </c>
    </row>
    <row r="6" spans="1:13" x14ac:dyDescent="0.3">
      <c r="A6" t="s">
        <v>4</v>
      </c>
      <c r="B6" s="43">
        <v>5</v>
      </c>
      <c r="C6" s="43">
        <v>0</v>
      </c>
      <c r="D6" s="64" t="str" cm="1">
        <f t="array" ref="D6">IF(INDEX(Export!$A$2:$S$93,MATCH(D$3,Export!$A$2:$A$93,0),$B6)="","n/a",INDEX(Export!$A$2:$S$93,MATCH(D$3,Export!$A$2:$A$93,0),$B6))</f>
        <v>n/a</v>
      </c>
      <c r="E6" s="61" t="str">
        <f>IFERROR(_xlfn.RANK.EQ(D6,INDEX(Export!$C$2:$S$93,0,$B6-2),$C6),"n/a")</f>
        <v>n/a</v>
      </c>
      <c r="F6" s="65" cm="1">
        <f t="array" ref="F6">IF(INDEX(Export!$A$2:$S$93,MATCH(F$3,Export!$A$2:$A$93,0),$B6)="","n/a",INDEX(Export!$A$2:$S$93,MATCH(F$3,Export!$A$2:$A$93,0),$B6))</f>
        <v>0.53787878787878785</v>
      </c>
      <c r="G6" s="63">
        <f>IFERROR(_xlfn.RANK.EQ(F6,INDEX(Export!$C$2:$S$93,0,$B6-2),$C6),"n/a")</f>
        <v>5</v>
      </c>
      <c r="H6" s="64" cm="1">
        <f t="array" ref="H6">IF(INDEX(Export!$A$2:$S$93,MATCH(H$3,Export!$A$2:$A$93,0),$B6)="","n/a",INDEX(Export!$A$2:$S$93,MATCH(H$3,Export!$A$2:$A$93,0),$B6))</f>
        <v>0.12716763005780346</v>
      </c>
      <c r="I6" s="61">
        <f>IFERROR(_xlfn.RANK.EQ(H6,INDEX(Export!$C$2:$S$93,0,$B6-2),$C6),"n/a")</f>
        <v>62</v>
      </c>
      <c r="J6" s="65" cm="1">
        <f t="array" ref="J6">IF(INDEX(Export!$A$2:$S$93,MATCH(J$3,Export!$A$2:$A$93,0),$B6)="","n/a",INDEX(Export!$A$2:$S$93,MATCH(J$3,Export!$A$2:$A$93,0),$B6))</f>
        <v>0.17964071856287425</v>
      </c>
      <c r="K6" s="63">
        <f>IFERROR(_xlfn.RANK.EQ(J6,INDEX(Export!$C$2:$S$93,0,$B6-2),$C6),"n/a")</f>
        <v>49</v>
      </c>
      <c r="L6" s="53">
        <f>AVERAGE(INDEX(Export!$C$2:$S$93,0,$B6-2))</f>
        <v>0.23906859058114638</v>
      </c>
      <c r="M6" s="53">
        <f>MEDIAN(INDEX(Export!$C$2:$S$93,0,$B6-2))</f>
        <v>0.18909506448277738</v>
      </c>
    </row>
    <row r="7" spans="1:13" x14ac:dyDescent="0.3">
      <c r="A7" t="s">
        <v>5</v>
      </c>
      <c r="B7" s="43">
        <v>6</v>
      </c>
      <c r="C7" s="43">
        <v>0</v>
      </c>
      <c r="D7" s="8" cm="1">
        <f t="array" ref="D7">IF(INDEX(Export!$A$2:$S$93,MATCH(D$3,Export!$A$2:$A$93,0),$B7)="","n/a",INDEX(Export!$A$2:$S$93,MATCH(D$3,Export!$A$2:$A$93,0),$B7))</f>
        <v>73</v>
      </c>
      <c r="E7" s="61">
        <f>IFERROR(_xlfn.RANK.EQ(D7,INDEX(Export!$C$2:$S$93,0,$B7-2),$C7),"n/a")</f>
        <v>36</v>
      </c>
      <c r="F7" s="62" cm="1">
        <f t="array" ref="F7">IF(INDEX(Export!$A$2:$S$93,MATCH(F$3,Export!$A$2:$A$93,0),$B7)="","n/a",INDEX(Export!$A$2:$S$93,MATCH(F$3,Export!$A$2:$A$93,0),$B7))</f>
        <v>53</v>
      </c>
      <c r="G7" s="63">
        <f>IFERROR(_xlfn.RANK.EQ(F7,INDEX(Export!$C$2:$S$93,0,$B7-2),$C7),"n/a")</f>
        <v>73</v>
      </c>
      <c r="H7" s="8" cm="1">
        <f t="array" ref="H7">IF(INDEX(Export!$A$2:$S$93,MATCH(H$3,Export!$A$2:$A$93,0),$B7)="","n/a",INDEX(Export!$A$2:$S$93,MATCH(H$3,Export!$A$2:$A$93,0),$B7))</f>
        <v>30</v>
      </c>
      <c r="I7" s="61">
        <f>IFERROR(_xlfn.RANK.EQ(H7,INDEX(Export!$C$2:$S$93,0,$B7-2),$C7),"n/a")</f>
        <v>91</v>
      </c>
      <c r="J7" s="62" cm="1">
        <f t="array" ref="J7">IF(INDEX(Export!$A$2:$S$93,MATCH(J$3,Export!$A$2:$A$93,0),$B7)="","n/a",INDEX(Export!$A$2:$S$93,MATCH(J$3,Export!$A$2:$A$93,0),$B7))</f>
        <v>58</v>
      </c>
      <c r="K7" s="63">
        <f>IFERROR(_xlfn.RANK.EQ(J7,INDEX(Export!$C$2:$S$93,0,$B7-2),$C7),"n/a")</f>
        <v>66</v>
      </c>
      <c r="L7" s="16">
        <f>AVERAGE(INDEX(Export!$C$2:$S$93,0,$B7-2))</f>
        <v>70.293478260869563</v>
      </c>
      <c r="M7" s="16">
        <f>MEDIAN(INDEX(Export!$C$2:$S$93,0,$B7-2))</f>
        <v>70</v>
      </c>
    </row>
    <row r="8" spans="1:13" x14ac:dyDescent="0.3">
      <c r="A8" t="s">
        <v>6</v>
      </c>
      <c r="B8" s="43">
        <v>7</v>
      </c>
      <c r="C8" s="43">
        <v>0</v>
      </c>
      <c r="D8" s="64" cm="1">
        <f t="array" ref="D8">IF(INDEX(Export!$A$2:$S$93,MATCH(D$3,Export!$A$2:$A$93,0),$B8)="","n/a",INDEX(Export!$A$2:$S$93,MATCH(D$3,Export!$A$2:$A$93,0),$B8))</f>
        <v>0.29795918367346941</v>
      </c>
      <c r="E8" s="61">
        <f>IFERROR(_xlfn.RANK.EQ(D8,INDEX(Export!$C$2:$S$93,0,$B8-2),$C8),"n/a")</f>
        <v>4</v>
      </c>
      <c r="F8" s="65" cm="1">
        <f t="array" ref="F8">IF(INDEX(Export!$A$2:$S$93,MATCH(F$3,Export!$A$2:$A$93,0),$B8)="","n/a",INDEX(Export!$A$2:$S$93,MATCH(F$3,Export!$A$2:$A$93,0),$B8))</f>
        <v>0.13054187192118227</v>
      </c>
      <c r="G8" s="63">
        <f>IFERROR(_xlfn.RANK.EQ(F8,INDEX(Export!$C$2:$S$93,0,$B8-2),$C8),"n/a")</f>
        <v>87</v>
      </c>
      <c r="H8" s="64" cm="1">
        <f t="array" ref="H8">IF(INDEX(Export!$A$2:$S$93,MATCH(H$3,Export!$A$2:$A$93,0),$B8)="","n/a",INDEX(Export!$A$2:$S$93,MATCH(H$3,Export!$A$2:$A$93,0),$B8))</f>
        <v>0.15384615384615385</v>
      </c>
      <c r="I8" s="61">
        <f>IFERROR(_xlfn.RANK.EQ(H8,INDEX(Export!$C$2:$S$93,0,$B8-2),$C8),"n/a")</f>
        <v>68</v>
      </c>
      <c r="J8" s="65" cm="1">
        <f t="array" ref="J8">IF(INDEX(Export!$A$2:$S$93,MATCH(J$3,Export!$A$2:$A$93,0),$B8)="","n/a",INDEX(Export!$A$2:$S$93,MATCH(J$3,Export!$A$2:$A$93,0),$B8))</f>
        <v>0.14720812182741116</v>
      </c>
      <c r="K8" s="63">
        <f>IFERROR(_xlfn.RANK.EQ(J8,INDEX(Export!$C$2:$S$93,0,$B8-2),$C8),"n/a")</f>
        <v>72</v>
      </c>
      <c r="L8" s="53">
        <f>AVERAGE(INDEX(Export!$C$2:$S$93,0,$B8-2))</f>
        <v>0.18974305652586929</v>
      </c>
      <c r="M8" s="53">
        <f>MEDIAN(INDEX(Export!$C$2:$S$93,0,$B8-2))</f>
        <v>0.18269702085943032</v>
      </c>
    </row>
    <row r="9" spans="1:13" x14ac:dyDescent="0.3">
      <c r="A9" t="s">
        <v>116</v>
      </c>
      <c r="B9" s="43">
        <v>8</v>
      </c>
      <c r="C9" s="43">
        <v>0</v>
      </c>
      <c r="D9" s="64" cm="1">
        <f t="array" ref="D9">IF(INDEX(Export!$A$2:$S$93,MATCH(D$3,Export!$A$2:$A$93,0),$B9)="","n/a",INDEX(Export!$A$2:$S$93,MATCH(D$3,Export!$A$2:$A$93,0),$B9))</f>
        <v>0.31900000000000001</v>
      </c>
      <c r="E9" s="61">
        <f>IFERROR(_xlfn.RANK.EQ(D9,INDEX(Export!$C$2:$S$93,0,$B9-2),$C9),"n/a")</f>
        <v>11</v>
      </c>
      <c r="F9" s="65" cm="1">
        <f t="array" ref="F9">IF(INDEX(Export!$A$2:$S$93,MATCH(F$3,Export!$A$2:$A$93,0),$B9)="","n/a",INDEX(Export!$A$2:$S$93,MATCH(F$3,Export!$A$2:$A$93,0),$B9))</f>
        <v>0.28699999999999998</v>
      </c>
      <c r="G9" s="63">
        <f>IFERROR(_xlfn.RANK.EQ(F9,INDEX(Export!$C$2:$S$93,0,$B9-2),$C9),"n/a")</f>
        <v>19</v>
      </c>
      <c r="H9" s="64" cm="1">
        <f t="array" ref="H9">IF(INDEX(Export!$A$2:$S$93,MATCH(H$3,Export!$A$2:$A$93,0),$B9)="","n/a",INDEX(Export!$A$2:$S$93,MATCH(H$3,Export!$A$2:$A$93,0),$B9))</f>
        <v>0.188</v>
      </c>
      <c r="I9" s="61">
        <f>IFERROR(_xlfn.RANK.EQ(H9,INDEX(Export!$C$2:$S$93,0,$B9-2),$C9),"n/a")</f>
        <v>64</v>
      </c>
      <c r="J9" s="65" cm="1">
        <f t="array" ref="J9">IF(INDEX(Export!$A$2:$S$93,MATCH(J$3,Export!$A$2:$A$93,0),$B9)="","n/a",INDEX(Export!$A$2:$S$93,MATCH(J$3,Export!$A$2:$A$93,0),$B9))</f>
        <v>0.26200000000000001</v>
      </c>
      <c r="K9" s="63">
        <f>IFERROR(_xlfn.RANK.EQ(J9,INDEX(Export!$C$2:$S$93,0,$B9-2),$C9),"n/a")</f>
        <v>25</v>
      </c>
      <c r="L9" s="53">
        <f>AVERAGE(INDEX(Export!$C$2:$S$93,0,$B9-2))</f>
        <v>0.23338043478260873</v>
      </c>
      <c r="M9" s="53">
        <f>MEDIAN(INDEX(Export!$C$2:$S$93,0,$B9-2))</f>
        <v>0.23</v>
      </c>
    </row>
    <row r="10" spans="1:13" x14ac:dyDescent="0.3">
      <c r="A10" t="s">
        <v>117</v>
      </c>
      <c r="B10" s="43">
        <v>9</v>
      </c>
      <c r="C10" s="43">
        <v>0</v>
      </c>
      <c r="D10" s="64" cm="1">
        <f t="array" ref="D10">IF(INDEX(Export!$A$2:$S$93,MATCH(D$3,Export!$A$2:$A$93,0),$B10)="","n/a",INDEX(Export!$A$2:$S$93,MATCH(D$3,Export!$A$2:$A$93,0),$B10))</f>
        <v>0.8</v>
      </c>
      <c r="E10" s="61">
        <f>IFERROR(_xlfn.RANK.EQ(D10,INDEX(Export!$C$2:$S$93,0,$B10-2),$C10),"n/a")</f>
        <v>2</v>
      </c>
      <c r="F10" s="65" cm="1">
        <f t="array" ref="F10">IF(INDEX(Export!$A$2:$S$93,MATCH(F$3,Export!$A$2:$A$93,0),$B10)="","n/a",INDEX(Export!$A$2:$S$93,MATCH(F$3,Export!$A$2:$A$93,0),$B10))</f>
        <v>0.70399999999999996</v>
      </c>
      <c r="G10" s="63">
        <f>IFERROR(_xlfn.RANK.EQ(F10,INDEX(Export!$C$2:$S$93,0,$B10-2),$C10),"n/a")</f>
        <v>57</v>
      </c>
      <c r="H10" s="64" cm="1">
        <f t="array" ref="H10">IF(INDEX(Export!$A$2:$S$93,MATCH(H$3,Export!$A$2:$A$93,0),$B10)="","n/a",INDEX(Export!$A$2:$S$93,MATCH(H$3,Export!$A$2:$A$93,0),$B10))</f>
        <v>0.77500000000000002</v>
      </c>
      <c r="I10" s="61">
        <f>IFERROR(_xlfn.RANK.EQ(H10,INDEX(Export!$C$2:$S$93,0,$B10-2),$C10),"n/a")</f>
        <v>14</v>
      </c>
      <c r="J10" s="65" cm="1">
        <f t="array" ref="J10">IF(INDEX(Export!$A$2:$S$93,MATCH(J$3,Export!$A$2:$A$93,0),$B10)="","n/a",INDEX(Export!$A$2:$S$93,MATCH(J$3,Export!$A$2:$A$93,0),$B10))</f>
        <v>0.74299999999999999</v>
      </c>
      <c r="K10" s="63">
        <f>IFERROR(_xlfn.RANK.EQ(J10,INDEX(Export!$C$2:$S$93,0,$B10-2),$C10),"n/a")</f>
        <v>33</v>
      </c>
      <c r="L10" s="53">
        <f>AVERAGE(INDEX(Export!$C$2:$S$93,0,$B10-2))</f>
        <v>0.71469565217391318</v>
      </c>
      <c r="M10" s="53">
        <f>MEDIAN(INDEX(Export!$C$2:$S$93,0,$B10-2))</f>
        <v>0.72399999999999998</v>
      </c>
    </row>
    <row r="11" spans="1:13" x14ac:dyDescent="0.3">
      <c r="A11" t="s">
        <v>9</v>
      </c>
      <c r="B11" s="43">
        <v>10</v>
      </c>
      <c r="C11" s="43">
        <v>0</v>
      </c>
      <c r="D11" s="14" cm="1">
        <f t="array" ref="D11">IF(INDEX(Export!$A$2:$S$93,MATCH(D$3,Export!$A$2:$A$93,0),$B11)="","n/a",INDEX(Export!$A$2:$S$93,MATCH(D$3,Export!$A$2:$A$93,0),$B11))</f>
        <v>138.80000000000001</v>
      </c>
      <c r="E11" s="61">
        <f>IFERROR(_xlfn.RANK.EQ(D11,INDEX(Export!$C$2:$S$93,0,$B11-2),$C11),"n/a")</f>
        <v>87</v>
      </c>
      <c r="F11" s="66" cm="1">
        <f t="array" ref="F11">IF(INDEX(Export!$A$2:$S$93,MATCH(F$3,Export!$A$2:$A$93,0),$B11)="","n/a",INDEX(Export!$A$2:$S$93,MATCH(F$3,Export!$A$2:$A$93,0),$B11))</f>
        <v>173.84</v>
      </c>
      <c r="G11" s="63">
        <f>IFERROR(_xlfn.RANK.EQ(F11,INDEX(Export!$C$2:$S$93,0,$B11-2),$C11),"n/a")</f>
        <v>38</v>
      </c>
      <c r="H11" s="14" cm="1">
        <f t="array" ref="H11">IF(INDEX(Export!$A$2:$S$93,MATCH(H$3,Export!$A$2:$A$93,0),$B11)="","n/a",INDEX(Export!$A$2:$S$93,MATCH(H$3,Export!$A$2:$A$93,0),$B11))</f>
        <v>131.84</v>
      </c>
      <c r="I11" s="61">
        <f>IFERROR(_xlfn.RANK.EQ(H11,INDEX(Export!$C$2:$S$93,0,$B11-2),$C11),"n/a")</f>
        <v>90</v>
      </c>
      <c r="J11" s="66" cm="1">
        <f t="array" ref="J11">IF(INDEX(Export!$A$2:$S$93,MATCH(J$3,Export!$A$2:$A$93,0),$B11)="","n/a",INDEX(Export!$A$2:$S$93,MATCH(J$3,Export!$A$2:$A$93,0),$B11))</f>
        <v>189.89</v>
      </c>
      <c r="K11" s="63">
        <f>IFERROR(_xlfn.RANK.EQ(J11,INDEX(Export!$C$2:$S$93,0,$B11-2),$C11),"n/a")</f>
        <v>27</v>
      </c>
      <c r="L11" s="22">
        <f>AVERAGE(INDEX(Export!$C$2:$S$93,0,$B11-2))</f>
        <v>178.23641304347825</v>
      </c>
      <c r="M11" s="22">
        <f>MEDIAN(INDEX(Export!$C$2:$S$93,0,$B11-2))</f>
        <v>167.44499999999999</v>
      </c>
    </row>
    <row r="12" spans="1:13" x14ac:dyDescent="0.3">
      <c r="A12" t="s">
        <v>11</v>
      </c>
      <c r="B12" s="43">
        <v>12</v>
      </c>
      <c r="C12" s="43">
        <v>0</v>
      </c>
      <c r="D12" s="14" cm="1">
        <f t="array" ref="D12">IF(INDEX(Export!$A$2:$S$93,MATCH(D$3,Export!$A$2:$A$93,0),$B12)="","n/a",INDEX(Export!$A$2:$S$93,MATCH(D$3,Export!$A$2:$A$93,0),$B12))</f>
        <v>138.80000000000001</v>
      </c>
      <c r="E12" s="61">
        <f>IFERROR(_xlfn.RANK.EQ(D12,INDEX(Export!$C$2:$S$93,0,$B12-2),$C12),"n/a")</f>
        <v>2</v>
      </c>
      <c r="F12" s="66" cm="1">
        <f t="array" ref="F12">IF(INDEX(Export!$A$2:$S$93,MATCH(F$3,Export!$A$2:$A$93,0),$B12)="","n/a",INDEX(Export!$A$2:$S$93,MATCH(F$3,Export!$A$2:$A$93,0),$B12))</f>
        <v>20.52000000000001</v>
      </c>
      <c r="G12" s="63">
        <f>IFERROR(_xlfn.RANK.EQ(F12,INDEX(Export!$C$2:$S$93,0,$B12-2),$C12),"n/a")</f>
        <v>9</v>
      </c>
      <c r="H12" s="14" cm="1">
        <f t="array" ref="H12">IF(INDEX(Export!$A$2:$S$93,MATCH(H$3,Export!$A$2:$A$93,0),$B12)="","n/a",INDEX(Export!$A$2:$S$93,MATCH(H$3,Export!$A$2:$A$93,0),$B12))</f>
        <v>6.3299999999999983</v>
      </c>
      <c r="I12" s="61">
        <f>IFERROR(_xlfn.RANK.EQ(H12,INDEX(Export!$C$2:$S$93,0,$B12-2),$C12),"n/a")</f>
        <v>28</v>
      </c>
      <c r="J12" s="66" cm="1">
        <f t="array" ref="J12">IF(INDEX(Export!$A$2:$S$93,MATCH(J$3,Export!$A$2:$A$93,0),$B12)="","n/a",INDEX(Export!$A$2:$S$93,MATCH(J$3,Export!$A$2:$A$93,0),$B12))</f>
        <v>5.8999999999999773</v>
      </c>
      <c r="K12" s="63">
        <f>IFERROR(_xlfn.RANK.EQ(J12,INDEX(Export!$C$2:$S$93,0,$B12-2),$C12),"n/a")</f>
        <v>29</v>
      </c>
      <c r="L12" s="22">
        <f>AVERAGE(INDEX(Export!$C$2:$S$93,0,$B12-2))</f>
        <v>-2.4645652173913022</v>
      </c>
      <c r="M12" s="22">
        <f>MEDIAN(INDEX(Export!$C$2:$S$93,0,$B12-2))</f>
        <v>-3.3250000000000028</v>
      </c>
    </row>
    <row r="13" spans="1:13" x14ac:dyDescent="0.3">
      <c r="A13" t="s">
        <v>118</v>
      </c>
      <c r="B13" s="43">
        <v>13</v>
      </c>
      <c r="C13" s="43">
        <v>1</v>
      </c>
      <c r="D13" s="64" cm="1">
        <f t="array" ref="D13">IF(INDEX(Export!$A$2:$S$93,MATCH(D$3,Export!$A$2:$A$93,0),$B13)="","n/a",INDEX(Export!$A$2:$S$93,MATCH(D$3,Export!$A$2:$A$93,0),$B13))</f>
        <v>0.114</v>
      </c>
      <c r="E13" s="61">
        <f>IFERROR(_xlfn.RANK.EQ(D13,INDEX(Export!$C$2:$S$93,0,$B13-2),$C13),"n/a")</f>
        <v>47</v>
      </c>
      <c r="F13" s="65" cm="1">
        <f t="array" ref="F13">IF(INDEX(Export!$A$2:$S$93,MATCH(F$3,Export!$A$2:$A$93,0),$B13)="","n/a",INDEX(Export!$A$2:$S$93,MATCH(F$3,Export!$A$2:$A$93,0),$B13))</f>
        <v>7.3999999999999996E-2</v>
      </c>
      <c r="G13" s="63">
        <f>IFERROR(_xlfn.RANK.EQ(F13,INDEX(Export!$C$2:$S$93,0,$B13-2),$C13),"n/a")</f>
        <v>16</v>
      </c>
      <c r="H13" s="64" cm="1">
        <f t="array" ref="H13">IF(INDEX(Export!$A$2:$S$93,MATCH(H$3,Export!$A$2:$A$93,0),$B13)="","n/a",INDEX(Export!$A$2:$S$93,MATCH(H$3,Export!$A$2:$A$93,0),$B13))</f>
        <v>8.6999999999999994E-2</v>
      </c>
      <c r="I13" s="61">
        <f>IFERROR(_xlfn.RANK.EQ(H13,INDEX(Export!$C$2:$S$93,0,$B13-2),$C13),"n/a")</f>
        <v>28</v>
      </c>
      <c r="J13" s="65" cm="1">
        <f t="array" ref="J13">IF(INDEX(Export!$A$2:$S$93,MATCH(J$3,Export!$A$2:$A$93,0),$B13)="","n/a",INDEX(Export!$A$2:$S$93,MATCH(J$3,Export!$A$2:$A$93,0),$B13))</f>
        <v>0.25900000000000001</v>
      </c>
      <c r="K13" s="63">
        <f>IFERROR(_xlfn.RANK.EQ(J13,INDEX(Export!$C$2:$S$93,0,$B13-2),$C13),"n/a")</f>
        <v>91</v>
      </c>
      <c r="L13" s="53">
        <f>AVERAGE(INDEX(Export!$C$2:$S$93,0,$B13-2))</f>
        <v>0.12072826086956522</v>
      </c>
      <c r="M13" s="53">
        <f>MEDIAN(INDEX(Export!$C$2:$S$93,0,$B13-2))</f>
        <v>0.111</v>
      </c>
    </row>
    <row r="14" spans="1:13" x14ac:dyDescent="0.3">
      <c r="A14" t="s">
        <v>119</v>
      </c>
      <c r="B14" s="43">
        <v>15</v>
      </c>
      <c r="C14" s="43">
        <v>1</v>
      </c>
      <c r="D14" s="67" cm="1">
        <f t="array" ref="D14">IF(INDEX(Export!$A$2:$S$93,MATCH(D$3,Export!$A$2:$A$93,0),$B14)="","n/a",INDEX(Export!$A$2:$S$93,MATCH(D$3,Export!$A$2:$A$93,0),$B14))</f>
        <v>5.0583673469387751</v>
      </c>
      <c r="E14" s="61">
        <f>IFERROR(_xlfn.RANK.EQ(D14,INDEX(Export!$C$2:$S$93,0,$B14-2),$C14),"n/a")</f>
        <v>45</v>
      </c>
      <c r="F14" s="68" cm="1">
        <f t="array" ref="F14">IF(INDEX(Export!$A$2:$S$93,MATCH(F$3,Export!$A$2:$A$93,0),$B14)="","n/a",INDEX(Export!$A$2:$S$93,MATCH(F$3,Export!$A$2:$A$93,0),$B14))</f>
        <v>3.3679802955665026</v>
      </c>
      <c r="G14" s="63">
        <f>IFERROR(_xlfn.RANK.EQ(F14,INDEX(Export!$C$2:$S$93,0,$B14-2),$C14),"n/a")</f>
        <v>10</v>
      </c>
      <c r="H14" s="67" cm="1">
        <f t="array" ref="H14">IF(INDEX(Export!$A$2:$S$93,MATCH(H$3,Export!$A$2:$A$93,0),$B14)="","n/a",INDEX(Export!$A$2:$S$93,MATCH(H$3,Export!$A$2:$A$93,0),$B14))</f>
        <v>3.8025641025641024</v>
      </c>
      <c r="I14" s="61">
        <f>IFERROR(_xlfn.RANK.EQ(H14,INDEX(Export!$C$2:$S$93,0,$B14-2),$C14),"n/a")</f>
        <v>20</v>
      </c>
      <c r="J14" s="68" cm="1">
        <f t="array" ref="J14">IF(INDEX(Export!$A$2:$S$93,MATCH(J$3,Export!$A$2:$A$93,0),$B14)="","n/a",INDEX(Export!$A$2:$S$93,MATCH(J$3,Export!$A$2:$A$93,0),$B14))</f>
        <v>9.9302030456852783</v>
      </c>
      <c r="K14" s="63">
        <f>IFERROR(_xlfn.RANK.EQ(J14,INDEX(Export!$C$2:$S$93,0,$B14-2),$C14),"n/a")</f>
        <v>91</v>
      </c>
      <c r="L14" s="54">
        <f>AVERAGE(INDEX(Export!$C$2:$S$93,0,$B14-2))</f>
        <v>5.3816792735804624</v>
      </c>
      <c r="M14" s="54">
        <f>MEDIAN(INDEX(Export!$C$2:$S$93,0,$B14-2))</f>
        <v>5.1007612869058656</v>
      </c>
    </row>
    <row r="15" spans="1:13" x14ac:dyDescent="0.3">
      <c r="A15" t="s">
        <v>120</v>
      </c>
      <c r="B15" s="43">
        <v>16</v>
      </c>
      <c r="C15" s="43">
        <v>1</v>
      </c>
      <c r="D15" s="67" cm="1">
        <f t="array" ref="D15">IF(INDEX(Export!$A$2:$S$93,MATCH(D$3,Export!$A$2:$A$93,0),$B15)="","n/a",INDEX(Export!$A$2:$S$93,MATCH(D$3,Export!$A$2:$A$93,0),$B15))</f>
        <v>16.733905579399142</v>
      </c>
      <c r="E15" s="61">
        <f>IFERROR(_xlfn.RANK.EQ(D15,INDEX(Export!$C$2:$S$93,0,$B15-2),$C15),"n/a")</f>
        <v>85</v>
      </c>
      <c r="F15" s="68" cm="1">
        <f t="array" ref="F15">IF(INDEX(Export!$A$2:$S$93,MATCH(F$3,Export!$A$2:$A$93,0),$B15)="","n/a",INDEX(Export!$A$2:$S$93,MATCH(F$3,Export!$A$2:$A$93,0),$B15))</f>
        <v>15.449081364829397</v>
      </c>
      <c r="G15" s="63">
        <f>IFERROR(_xlfn.RANK.EQ(F15,INDEX(Export!$C$2:$S$93,0,$B15-2),$C15),"n/a")</f>
        <v>59</v>
      </c>
      <c r="H15" s="67" cm="1">
        <f t="array" ref="H15">IF(INDEX(Export!$A$2:$S$93,MATCH(H$3,Export!$A$2:$A$93,0),$B15)="","n/a",INDEX(Export!$A$2:$S$93,MATCH(H$3,Export!$A$2:$A$93,0),$B15))</f>
        <v>14.122527472527473</v>
      </c>
      <c r="I15" s="61">
        <f>IFERROR(_xlfn.RANK.EQ(H15,INDEX(Export!$C$2:$S$93,0,$B15-2),$C15),"n/a")</f>
        <v>28</v>
      </c>
      <c r="J15" s="68" cm="1">
        <f t="array" ref="J15">IF(INDEX(Export!$A$2:$S$93,MATCH(J$3,Export!$A$2:$A$93,0),$B15)="","n/a",INDEX(Export!$A$2:$S$93,MATCH(J$3,Export!$A$2:$A$93,0),$B15))</f>
        <v>17.83324396782842</v>
      </c>
      <c r="K15" s="63">
        <f>IFERROR(_xlfn.RANK.EQ(J15,INDEX(Export!$C$2:$S$93,0,$B15-2),$C15),"n/a")</f>
        <v>91</v>
      </c>
      <c r="L15" s="54">
        <f>AVERAGE(INDEX(Export!$C$2:$S$93,0,$B15-2))</f>
        <v>14.940341960692246</v>
      </c>
      <c r="M15" s="54">
        <f>MEDIAN(INDEX(Export!$C$2:$S$93,0,$B15-2))</f>
        <v>15.112658345285498</v>
      </c>
    </row>
    <row r="16" spans="1:13" x14ac:dyDescent="0.3">
      <c r="A16" t="s">
        <v>16</v>
      </c>
      <c r="B16" s="43">
        <v>17</v>
      </c>
      <c r="C16" s="43">
        <v>0</v>
      </c>
      <c r="D16" s="69" cm="1">
        <f t="array" ref="D16">IF(INDEX(Export!$A$2:$S$93,MATCH(D$3,Export!$A$2:$A$93,0),$B16)="","n/a",INDEX(Export!$A$2:$S$93,MATCH(D$3,Export!$A$2:$A$93,0),$B16))</f>
        <v>1.7804207625905981</v>
      </c>
      <c r="E16" s="61">
        <f>IFERROR(_xlfn.RANK.EQ(D16,INDEX(Export!$C$2:$S$93,0,$B16-2),$C16),"n/a")</f>
        <v>82</v>
      </c>
      <c r="F16" s="70" cm="1">
        <f t="array" ref="F16">IF(INDEX(Export!$A$2:$S$93,MATCH(F$3,Export!$A$2:$A$93,0),$B16)="","n/a",INDEX(Export!$A$2:$S$93,MATCH(F$3,Export!$A$2:$A$93,0),$B16))</f>
        <v>2.3804529953862672</v>
      </c>
      <c r="G16" s="63">
        <f>IFERROR(_xlfn.RANK.EQ(F16,INDEX(Export!$C$2:$S$93,0,$B16-2),$C16),"n/a")</f>
        <v>22</v>
      </c>
      <c r="H16" s="69" cm="1">
        <f t="array" ref="H16">IF(INDEX(Export!$A$2:$S$93,MATCH(H$3,Export!$A$2:$A$93,0),$B16)="","n/a",INDEX(Export!$A$2:$S$93,MATCH(H$3,Export!$A$2:$A$93,0),$B16))</f>
        <v>1.5421956684092606</v>
      </c>
      <c r="I16" s="61">
        <f>IFERROR(_xlfn.RANK.EQ(H16,INDEX(Export!$C$2:$S$93,0,$B16-2),$C16),"n/a")</f>
        <v>92</v>
      </c>
      <c r="J16" s="70" cm="1">
        <f t="array" ref="J16">IF(INDEX(Export!$A$2:$S$93,MATCH(J$3,Export!$A$2:$A$93,0),$B16)="","n/a",INDEX(Export!$A$2:$S$93,MATCH(J$3,Export!$A$2:$A$93,0),$B16))</f>
        <v>2.1159360756008154</v>
      </c>
      <c r="K16" s="63">
        <f>IFERROR(_xlfn.RANK.EQ(J16,INDEX(Export!$C$2:$S$93,0,$B16-2),$C16),"n/a")</f>
        <v>52</v>
      </c>
      <c r="L16" s="55">
        <f>AVERAGE(INDEX(Export!$C$2:$S$93,0,$B16-2))</f>
        <v>2.1543806698575039</v>
      </c>
      <c r="M16" s="55">
        <f>MEDIAN(INDEX(Export!$C$2:$S$93,0,$B16-2))</f>
        <v>2.1453912328898905</v>
      </c>
    </row>
    <row r="17" spans="1:13" x14ac:dyDescent="0.3">
      <c r="A17" t="s">
        <v>17</v>
      </c>
      <c r="B17" s="43">
        <v>18</v>
      </c>
      <c r="C17" s="43">
        <v>0</v>
      </c>
      <c r="D17" s="67" cm="1">
        <f t="array" ref="D17">IF(INDEX(Export!$A$2:$S$93,MATCH(D$3,Export!$A$2:$A$93,0),$B17)="","n/a",INDEX(Export!$A$2:$S$93,MATCH(D$3,Export!$A$2:$A$93,0),$B17))</f>
        <v>35.187319884726222</v>
      </c>
      <c r="E17" s="61">
        <f>IFERROR(_xlfn.RANK.EQ(D17,INDEX(Export!$C$2:$S$93,0,$B17-2),$C17),"n/a")</f>
        <v>81</v>
      </c>
      <c r="F17" s="68" cm="1">
        <f t="array" ref="F17">IF(INDEX(Export!$A$2:$S$93,MATCH(F$3,Export!$A$2:$A$93,0),$B17)="","n/a",INDEX(Export!$A$2:$S$93,MATCH(F$3,Export!$A$2:$A$93,0),$B17))</f>
        <v>46.652093879429358</v>
      </c>
      <c r="G17" s="63">
        <f>IFERROR(_xlfn.RANK.EQ(F17,INDEX(Export!$C$2:$S$93,0,$B17-2),$C17),"n/a")</f>
        <v>26</v>
      </c>
      <c r="H17" s="67" cm="1">
        <f t="array" ref="H17">IF(INDEX(Export!$A$2:$S$93,MATCH(H$3,Export!$A$2:$A$93,0),$B17)="","n/a",INDEX(Export!$A$2:$S$93,MATCH(H$3,Export!$A$2:$A$93,0),$B17))</f>
        <v>31.325849514563107</v>
      </c>
      <c r="I17" s="61">
        <f>IFERROR(_xlfn.RANK.EQ(H17,INDEX(Export!$C$2:$S$93,0,$B17-2),$C17),"n/a")</f>
        <v>92</v>
      </c>
      <c r="J17" s="68" cm="1">
        <f t="array" ref="J17">IF(INDEX(Export!$A$2:$S$93,MATCH(J$3,Export!$A$2:$A$93,0),$B17)="","n/a",INDEX(Export!$A$2:$S$93,MATCH(J$3,Export!$A$2:$A$93,0),$B17))</f>
        <v>41.413449892042763</v>
      </c>
      <c r="K17" s="63">
        <f>IFERROR(_xlfn.RANK.EQ(J17,INDEX(Export!$C$2:$S$93,0,$B17-2),$C17),"n/a")</f>
        <v>56</v>
      </c>
      <c r="L17" s="54">
        <f>AVERAGE(INDEX(Export!$C$2:$S$93,0,$B17-2))</f>
        <v>43.222270499395343</v>
      </c>
      <c r="M17" s="54">
        <f>MEDIAN(INDEX(Export!$C$2:$S$93,0,$B17-2))</f>
        <v>42.92732584942538</v>
      </c>
    </row>
    <row r="18" spans="1:13" x14ac:dyDescent="0.3">
      <c r="A18" t="s">
        <v>18</v>
      </c>
      <c r="B18" s="43">
        <v>19</v>
      </c>
      <c r="C18" s="43">
        <v>1</v>
      </c>
      <c r="D18" s="64" cm="1">
        <f t="array" ref="D18">IF(INDEX(Export!$A$2:$S$93,MATCH(D$3,Export!$A$2:$A$93,0),$B18)="","n/a",INDEX(Export!$A$2:$S$93,MATCH(D$3,Export!$A$2:$A$93,0),$B18))</f>
        <v>0.10047080592105263</v>
      </c>
      <c r="E18" s="61">
        <f>IFERROR(_xlfn.RANK.EQ(D18,INDEX(Export!$C$2:$S$93,0,$B18-2),$C18),"n/a")</f>
        <v>90</v>
      </c>
      <c r="F18" s="65" cm="1">
        <f t="array" ref="F18">IF(INDEX(Export!$A$2:$S$93,MATCH(F$3,Export!$A$2:$A$93,0),$B18)="","n/a",INDEX(Export!$A$2:$S$93,MATCH(F$3,Export!$A$2:$A$93,0),$B18))</f>
        <v>1.9421579532814235E-2</v>
      </c>
      <c r="G18" s="63">
        <f>IFERROR(_xlfn.RANK.EQ(F18,INDEX(Export!$C$2:$S$93,0,$B18-2),$C18),"n/a")</f>
        <v>10</v>
      </c>
      <c r="H18" s="64" cm="1">
        <f t="array" ref="H18">IF(INDEX(Export!$A$2:$S$93,MATCH(H$3,Export!$A$2:$A$93,0),$B18)="","n/a",INDEX(Export!$A$2:$S$93,MATCH(H$3,Export!$A$2:$A$93,0),$B18))</f>
        <v>4.0226332440983205E-2</v>
      </c>
      <c r="I18" s="61">
        <f>IFERROR(_xlfn.RANK.EQ(H18,INDEX(Export!$C$2:$S$93,0,$B18-2),$C18),"n/a")</f>
        <v>51</v>
      </c>
      <c r="J18" s="65" cm="1">
        <f t="array" ref="J18">IF(INDEX(Export!$A$2:$S$93,MATCH(J$3,Export!$A$2:$A$93,0),$B18)="","n/a",INDEX(Export!$A$2:$S$93,MATCH(J$3,Export!$A$2:$A$93,0),$B18))</f>
        <v>3.7182095625635805E-2</v>
      </c>
      <c r="K18" s="63">
        <f>IFERROR(_xlfn.RANK.EQ(J18,INDEX(Export!$C$2:$S$93,0,$B18-2),$C18),"n/a")</f>
        <v>40</v>
      </c>
      <c r="L18" s="53">
        <f>AVERAGE(INDEX(Export!$C$2:$S$93,0,$B18-2))</f>
        <v>4.2203886804855706E-2</v>
      </c>
      <c r="M18" s="53">
        <f>MEDIAN(INDEX(Export!$C$2:$S$93,0,$B18-2))</f>
        <v>3.8477882532808892E-2</v>
      </c>
    </row>
    <row r="20" spans="1:13" ht="15.6" x14ac:dyDescent="0.3">
      <c r="A20" s="47" t="s">
        <v>122</v>
      </c>
    </row>
    <row r="22" spans="1:13" x14ac:dyDescent="0.3">
      <c r="A22" s="49" t="str">
        <f>D3</f>
        <v>4216: North River Ranch</v>
      </c>
      <c r="B22" s="49"/>
      <c r="C22" s="49"/>
    </row>
    <row r="23" spans="1:13" ht="34.049999999999997" customHeight="1" x14ac:dyDescent="0.3">
      <c r="A23" s="48" t="str">
        <f>"Traffic: "&amp;TEXT(D5,"#,##0")&amp;" customers (rank "&amp;E5&amp;") vs. chain avg "&amp;TEXT(L5,"#,##0")&amp;". No prior-year data — this reads as a new/ramping salon, so the Floor Hours Growth field holds raw hours, not growth, and its rank should be ignored."</f>
        <v>Traffic: 245 customers (rank 86) vs. chain avg 381. No prior-year data — this reads as a new/ramping salon, so the Floor Hours Growth field holds raw hours, not growth, and its rank should be ignored.</v>
      </c>
      <c r="B23" s="48"/>
      <c r="C23" s="48"/>
      <c r="D23" s="48"/>
      <c r="E23" s="48"/>
      <c r="F23" s="48"/>
      <c r="G23" s="48"/>
      <c r="H23" s="48"/>
      <c r="I23" s="48"/>
      <c r="J23" s="48"/>
      <c r="K23" s="48"/>
      <c r="L23" s="48"/>
      <c r="M23" s="48"/>
    </row>
    <row r="24" spans="1:13" ht="34.049999999999997" customHeight="1" x14ac:dyDescent="0.3">
      <c r="A24" s="48" t="str">
        <f>"Strengths: best-in-class guest capture and loyalty — new customers are "&amp;TEXT(D8,"0.0%")&amp;" of traffic (rank "&amp;E8&amp;") vs. "&amp;TEXT(L8,"0.0%")&amp;" chain avg, repeat-customer return is "&amp;TEXT(D10,"0.0%")&amp;" (rank "&amp;E10&amp;"), and new-customer return "&amp;TEXT(D9,"0.0%")&amp;" (rank "&amp;E9&amp;"). Waits are under control at "&amp;TEXT(D14,"0.0")&amp;" min average."</f>
        <v>Strengths: best-in-class guest capture and loyalty — new customers are 29.8% of traffic (rank 4) vs. 19.0% chain avg, repeat-customer return is 80.0% (rank 2), and new-customer return 31.9% (rank 11). Waits are under control at 5.1 min average.</v>
      </c>
      <c r="B24" s="48"/>
      <c r="C24" s="48"/>
      <c r="D24" s="48"/>
      <c r="E24" s="48"/>
      <c r="F24" s="48"/>
      <c r="G24" s="48"/>
      <c r="H24" s="48"/>
      <c r="I24" s="48"/>
      <c r="J24" s="48"/>
      <c r="K24" s="48"/>
      <c r="L24" s="48"/>
      <c r="M24" s="48"/>
    </row>
    <row r="25" spans="1:13" ht="34.049999999999997" customHeight="1" x14ac:dyDescent="0.3">
      <c r="A25" s="48" t="str">
        <f>"Weaknesses: labor efficiency is bottom-decile — CPH "&amp;TEXT(D16,"0.00")&amp;" (rank "&amp;E16&amp;") and productivity "&amp;TEXT(D17,"0.0")&amp;" (rank "&amp;E17&amp;") both well below the "&amp;TEXT(L16,"0.00")&amp;" / "&amp;TEXT(L17,"0.0")&amp;" chain averages, with the slowest-quartile haircut time of "&amp;TEXT(D15,"0.0")&amp;" min (rank "&amp;E15&amp;"). Discounting is "&amp;TEXT(D18,"0.0%")&amp;" (rank "&amp;E18&amp;"), roughly "&amp;TEXT(D18/L18,"0.0")&amp;"x the chain average."</f>
        <v>Weaknesses: labor efficiency is bottom-decile — CPH 1.78 (rank 82) and productivity 35.2 (rank 81) both well below the 2.15 / 43.2 chain averages, with the slowest-quartile haircut time of 16.7 min (rank 85). Discounting is 10.0% (rank 90), roughly 2.4x the chain average.</v>
      </c>
      <c r="B25" s="48"/>
      <c r="C25" s="48"/>
      <c r="D25" s="48"/>
      <c r="E25" s="48"/>
      <c r="F25" s="48"/>
      <c r="G25" s="48"/>
      <c r="H25" s="48"/>
      <c r="I25" s="48"/>
      <c r="J25" s="48"/>
      <c r="K25" s="48"/>
      <c r="L25" s="48"/>
      <c r="M25" s="48"/>
    </row>
    <row r="26" spans="1:13" ht="34.049999999999997" customHeight="1" x14ac:dyDescent="0.3">
      <c r="A26" s="48" t="s">
        <v>123</v>
      </c>
      <c r="B26" s="48"/>
      <c r="C26" s="48"/>
      <c r="D26" s="48"/>
      <c r="E26" s="48"/>
      <c r="F26" s="48"/>
      <c r="G26" s="48"/>
      <c r="H26" s="48"/>
      <c r="I26" s="48"/>
      <c r="J26" s="48"/>
      <c r="K26" s="48"/>
      <c r="L26" s="48"/>
      <c r="M26" s="48"/>
    </row>
    <row r="28" spans="1:13" x14ac:dyDescent="0.3">
      <c r="A28" s="49" t="str">
        <f>F3</f>
        <v>3800: Publix at Braden River</v>
      </c>
      <c r="B28" s="49"/>
      <c r="C28" s="49"/>
    </row>
    <row r="29" spans="1:13" ht="34.049999999999997" customHeight="1" x14ac:dyDescent="0.3">
      <c r="A29" s="48" t="str">
        <f>"Traffic: "&amp;TEXT(F5,"#,##0")&amp;" customers (rank "&amp;G5&amp;"), up "&amp;TEXT(F6,"0.0%")&amp;" year over year — rank "&amp;G6&amp;" in the chain and more than double the "&amp;TEXT(L6,"0.0%")&amp;" average growth. Floor hours grew "&amp;TEXT(F12,"0.0")&amp;" (rank "&amp;G12&amp;"), so the added demand is being staffed for."</f>
        <v>Traffic: 406 customers (rank 34), up 53.8% year over year — rank 5 in the chain and more than double the 23.9% average growth. Floor hours grew 20.5 (rank 9), so the added demand is being staffed for.</v>
      </c>
      <c r="B29" s="48"/>
      <c r="C29" s="48"/>
      <c r="D29" s="48"/>
      <c r="E29" s="48"/>
      <c r="F29" s="48"/>
      <c r="G29" s="48"/>
      <c r="H29" s="48"/>
      <c r="I29" s="48"/>
      <c r="J29" s="48"/>
      <c r="K29" s="48"/>
      <c r="L29" s="48"/>
      <c r="M29" s="48"/>
    </row>
    <row r="30" spans="1:13" ht="34.049999999999997" customHeight="1" x14ac:dyDescent="0.3">
      <c r="A30" s="48" t="str">
        <f>"Strengths: fastest service of the four — only "&amp;TEXT(F13,"0.0%")&amp;" of guests wait over 15 minutes (rank "&amp;G13&amp;") and average wait is "&amp;TEXT(F14,"0.0")&amp;" min (rank "&amp;G14&amp;"). Efficiency is above average on both CPH "&amp;TEXT(F16,"0.00")&amp;" (rank "&amp;G16&amp;") and productivity "&amp;TEXT(F17,"0.0")&amp;" (rank "&amp;G17&amp;"), and it is doing it on the cleanest pricing of the group at "&amp;TEXT(F18,"0.0%")&amp;" discount (rank "&amp;G18&amp;")."</f>
        <v>Strengths: fastest service of the four — only 7.4% of guests wait over 15 minutes (rank 16) and average wait is 3.4 min (rank 10). Efficiency is above average on both CPH 2.38 (rank 22) and productivity 46.7 (rank 26), and it is doing it on the cleanest pricing of the group at 1.9% discount (rank 10).</v>
      </c>
      <c r="B30" s="48"/>
      <c r="C30" s="48"/>
      <c r="D30" s="48"/>
      <c r="E30" s="48"/>
      <c r="F30" s="48"/>
      <c r="G30" s="48"/>
      <c r="H30" s="48"/>
      <c r="I30" s="48"/>
      <c r="J30" s="48"/>
      <c r="K30" s="48"/>
      <c r="L30" s="48"/>
      <c r="M30" s="48"/>
    </row>
    <row r="31" spans="1:13" ht="34.049999999999997" customHeight="1" x14ac:dyDescent="0.3">
      <c r="A31" s="48" t="str">
        <f>"Weakness: new-guest acquisition. New customers are just "&amp;TEXT(F8,"0.0%")&amp;" of traffic (rank "&amp;G8&amp;") vs. "&amp;TEXT(L8,"0.0%")&amp;" chain avg — the growth is coming from repeat and transferred guests, not from new trial. New-customer return of "&amp;TEXT(F9,"0.0%")&amp;" (rank "&amp;G9&amp;") is strong, so the funnel converts well once someone walks in."</f>
        <v>Weakness: new-guest acquisition. New customers are just 13.1% of traffic (rank 87) vs. 19.0% chain avg — the growth is coming from repeat and transferred guests, not from new trial. New-customer return of 28.7% (rank 19) is strong, so the funnel converts well once someone walks in.</v>
      </c>
      <c r="B31" s="48"/>
      <c r="C31" s="48"/>
      <c r="D31" s="48"/>
      <c r="E31" s="48"/>
      <c r="F31" s="48"/>
      <c r="G31" s="48"/>
      <c r="H31" s="48"/>
      <c r="I31" s="48"/>
      <c r="J31" s="48"/>
      <c r="K31" s="48"/>
      <c r="L31" s="48"/>
      <c r="M31" s="48"/>
    </row>
    <row r="32" spans="1:13" ht="34.049999999999997" customHeight="1" x14ac:dyDescent="0.3">
      <c r="A32" s="48" t="s">
        <v>124</v>
      </c>
      <c r="B32" s="48"/>
      <c r="C32" s="48"/>
      <c r="D32" s="48"/>
      <c r="E32" s="48"/>
      <c r="F32" s="48"/>
      <c r="G32" s="48"/>
      <c r="H32" s="48"/>
      <c r="I32" s="48"/>
      <c r="J32" s="48"/>
      <c r="K32" s="48"/>
      <c r="L32" s="48"/>
      <c r="M32" s="48"/>
    </row>
    <row r="34" spans="1:13" x14ac:dyDescent="0.3">
      <c r="A34" s="49" t="str">
        <f>H3</f>
        <v>3750: Publix at County Line Road</v>
      </c>
      <c r="B34" s="49"/>
      <c r="C34" s="49"/>
    </row>
    <row r="35" spans="1:13" ht="34.049999999999997" customHeight="1" x14ac:dyDescent="0.3">
      <c r="A35" s="48" t="str">
        <f>"Traffic: "&amp;TEXT(H5,"#,##0")&amp;" customers — rank "&amp;I5&amp;", the smallest volume of any salon in the export and roughly half the "&amp;TEXT(L5,"#,##0")&amp;" chain average. Growth is positive at "&amp;TEXT(H6,"0.0%")&amp;" (rank "&amp;I6&amp;"), so it is building, just from a very low base."</f>
        <v>Traffic: 195 customers — rank 91, the smallest volume of any salon in the export and roughly half the 381 chain average. Growth is positive at 12.7% (rank 62), so it is building, just from a very low base.</v>
      </c>
      <c r="B35" s="48"/>
      <c r="C35" s="48"/>
      <c r="D35" s="48"/>
      <c r="E35" s="48"/>
      <c r="F35" s="48"/>
      <c r="G35" s="48"/>
      <c r="H35" s="48"/>
      <c r="I35" s="48"/>
      <c r="J35" s="48"/>
      <c r="K35" s="48"/>
      <c r="L35" s="48"/>
      <c r="M35" s="48"/>
    </row>
    <row r="36" spans="1:13" ht="34.049999999999997" customHeight="1" x14ac:dyDescent="0.3">
      <c r="A36" s="48" t="str">
        <f>"Core problem: it is the least productive salon in the chain. CPH "&amp;TEXT(H16,"0.00")&amp;" ranks "&amp;I16&amp;" and productivity "&amp;TEXT(H17,"0.0")&amp;" ranks "&amp;I17&amp;" — dead last on both, against chain averages of "&amp;TEXT(L16,"0.00")&amp;" and "&amp;TEXT(L17,"0.0")&amp;". Floor hours of "&amp;TEXT(H11,"#,##0.0")&amp;" (rank "&amp;I11&amp;") are low in absolute terms but still too high for the demand: waits are minimal at "&amp;TEXT(H14,"0.0")&amp;" min and only "&amp;TEXT(H13,"0.0%")&amp;" exceed 15 minutes, meaning stylists are idle, not slammed."</f>
        <v>Core problem: it is the least productive salon in the chain. CPH 1.54 ranks 92 and productivity 31.3 ranks 92 — dead last on both, against chain averages of 2.15 and 43.2. Floor hours of 131.8 (rank 90) are low in absolute terms but still too high for the demand: waits are minimal at 3.8 min and only 8.7% exceed 15 minutes, meaning stylists are idle, not slammed.</v>
      </c>
      <c r="B36" s="48"/>
      <c r="C36" s="48"/>
      <c r="D36" s="48"/>
      <c r="E36" s="48"/>
      <c r="F36" s="48"/>
      <c r="G36" s="48"/>
      <c r="H36" s="48"/>
      <c r="I36" s="48"/>
      <c r="J36" s="48"/>
      <c r="K36" s="48"/>
      <c r="L36" s="48"/>
      <c r="M36" s="48"/>
    </row>
    <row r="37" spans="1:13" ht="34.049999999999997" customHeight="1" x14ac:dyDescent="0.3">
      <c r="A37" s="48" t="str">
        <f>"Bright spot: loyalty. Repeat-customer return of "&amp;TEXT(H10,"0.0%")&amp;" ranks "&amp;I10&amp;" chain-wide. New-customer return of "&amp;TEXT(H9,"0.0%")&amp;" (rank "&amp;I9&amp;") and new-guest share of "&amp;TEXT(H8,"0.0%")&amp;" (rank "&amp;I8&amp;") are both below average, so the existing base is loyal but too few new guests are entering it."</f>
        <v>Bright spot: loyalty. Repeat-customer return of 77.5% ranks 14 chain-wide. New-customer return of 18.8% (rank 64) and new-guest share of 15.4% (rank 68) are both below average, so the existing base is loyal but too few new guests are entering it.</v>
      </c>
      <c r="B37" s="48"/>
      <c r="C37" s="48"/>
      <c r="D37" s="48"/>
      <c r="E37" s="48"/>
      <c r="F37" s="48"/>
      <c r="G37" s="48"/>
      <c r="H37" s="48"/>
      <c r="I37" s="48"/>
      <c r="J37" s="48"/>
      <c r="K37" s="48"/>
      <c r="L37" s="48"/>
      <c r="M37" s="48"/>
    </row>
    <row r="38" spans="1:13" ht="34.049999999999997" customHeight="1" x14ac:dyDescent="0.3">
      <c r="A38" s="48" t="s">
        <v>125</v>
      </c>
      <c r="B38" s="48"/>
      <c r="C38" s="48"/>
      <c r="D38" s="48"/>
      <c r="E38" s="48"/>
      <c r="F38" s="48"/>
      <c r="G38" s="48"/>
      <c r="H38" s="48"/>
      <c r="I38" s="48"/>
      <c r="J38" s="48"/>
      <c r="K38" s="48"/>
      <c r="L38" s="48"/>
      <c r="M38" s="48"/>
    </row>
    <row r="40" spans="1:13" x14ac:dyDescent="0.3">
      <c r="A40" s="49" t="str">
        <f>J3</f>
        <v>3826: Kings Crossing Publix</v>
      </c>
      <c r="B40" s="49"/>
      <c r="C40" s="49"/>
    </row>
    <row r="41" spans="1:13" ht="34.049999999999997" customHeight="1" x14ac:dyDescent="0.3">
      <c r="A41" s="48" t="str">
        <f>"Traffic: "&amp;TEXT(J5,"#,##0")&amp;" customers (rank "&amp;K5&amp;"), up "&amp;TEXT(J6,"0.0%")&amp;" year over year (rank "&amp;K6&amp;") — solidly mid-pack and slightly below the "&amp;TEXT(L6,"0.0%")&amp;" chain average growth. Floor hours of "&amp;TEXT(J11,"#,##0.0")&amp;" rank "&amp;K11&amp;", so staffing levels are not the shortfall."</f>
        <v>Traffic: 394 customers (rank 37), up 18.0% year over year (rank 49) — solidly mid-pack and slightly below the 23.9% chain average growth. Floor hours of 189.9 rank 27, so staffing levels are not the shortfall.</v>
      </c>
      <c r="B41" s="48"/>
      <c r="C41" s="48"/>
      <c r="D41" s="48"/>
      <c r="E41" s="48"/>
      <c r="F41" s="48"/>
      <c r="G41" s="48"/>
      <c r="H41" s="48"/>
      <c r="I41" s="48"/>
      <c r="J41" s="48"/>
      <c r="K41" s="48"/>
      <c r="L41" s="48"/>
      <c r="M41" s="48"/>
    </row>
    <row r="42" spans="1:13" ht="34.049999999999997" customHeight="1" x14ac:dyDescent="0.3">
      <c r="A42" s="48" t="str">
        <f>"Core problem: service speed. Average haircut time of "&amp;TEXT(J15,"0.0")&amp;" min is the slowest in the chain (rank "&amp;K15&amp;") against a "&amp;TEXT(L15,"0.0")&amp;" min average. That cascades directly into waits: "&amp;TEXT(J13,"0.0%")&amp;" of guests wait over 15 minutes (rank "&amp;K13&amp;") and the average wait is "&amp;TEXT(J14,"0.0")&amp;" min (rank "&amp;K14&amp;") vs. "&amp;TEXT(L14,"0.0")&amp;" chain-wide. Effectively the worst wait experience of any salon in the file."</f>
        <v>Core problem: service speed. Average haircut time of 17.8 min is the slowest in the chain (rank 91) against a 14.9 min average. That cascades directly into waits: 25.9% of guests wait over 15 minutes (rank 91) and the average wait is 9.9 min (rank 91) vs. 5.4 chain-wide. Effectively the worst wait experience of any salon in the file.</v>
      </c>
      <c r="B42" s="48"/>
      <c r="C42" s="48"/>
      <c r="D42" s="48"/>
      <c r="E42" s="48"/>
      <c r="F42" s="48"/>
      <c r="G42" s="48"/>
      <c r="H42" s="48"/>
      <c r="I42" s="48"/>
      <c r="J42" s="48"/>
      <c r="K42" s="48"/>
      <c r="L42" s="48"/>
      <c r="M42" s="48"/>
    </row>
    <row r="43" spans="1:13" ht="34.049999999999997" customHeight="1" x14ac:dyDescent="0.3">
      <c r="A43" s="48" t="str">
        <f>"Everything else is average: CPH "&amp;TEXT(J16,"0.00")&amp;" (rank "&amp;K16&amp;"), productivity "&amp;TEXT(J17,"0.0")&amp;" (rank "&amp;K17&amp;"), discount "&amp;TEXT(J18,"0.0%")&amp;" (rank "&amp;K18&amp;"). Retention holds up — new-customer return "&amp;TEXT(J9,"0.0%")&amp;" (rank "&amp;K9&amp;") and repeat return "&amp;TEXT(J10,"0.0%")&amp;" (rank "&amp;K10&amp;") — but new-guest share of "&amp;TEXT(J8,"0.0%")&amp;" (rank "&amp;K8&amp;") is soft."</f>
        <v>Everything else is average: CPH 2.12 (rank 52), productivity 41.4 (rank 56), discount 3.7% (rank 40). Retention holds up — new-customer return 26.2% (rank 25) and repeat return 74.3% (rank 33) — but new-guest share of 14.7% (rank 72) is soft.</v>
      </c>
      <c r="B43" s="48"/>
      <c r="C43" s="48"/>
      <c r="D43" s="48"/>
      <c r="E43" s="48"/>
      <c r="F43" s="48"/>
      <c r="G43" s="48"/>
      <c r="H43" s="48"/>
      <c r="I43" s="48"/>
      <c r="J43" s="48"/>
      <c r="K43" s="48"/>
      <c r="L43" s="48"/>
      <c r="M43" s="48"/>
    </row>
    <row r="44" spans="1:13" ht="34.049999999999997" customHeight="1" x14ac:dyDescent="0.3">
      <c r="A44" s="48" t="s">
        <v>126</v>
      </c>
      <c r="B44" s="48"/>
      <c r="C44" s="48"/>
      <c r="D44" s="48"/>
      <c r="E44" s="48"/>
      <c r="F44" s="48"/>
      <c r="G44" s="48"/>
      <c r="H44" s="48"/>
      <c r="I44" s="48"/>
      <c r="J44" s="48"/>
      <c r="K44" s="48"/>
      <c r="L44" s="48"/>
      <c r="M44" s="48"/>
    </row>
  </sheetData>
  <mergeCells count="25">
    <mergeCell ref="A31:M31"/>
    <mergeCell ref="A32:M32"/>
    <mergeCell ref="D3:E3"/>
    <mergeCell ref="F3:G3"/>
    <mergeCell ref="H3:I3"/>
    <mergeCell ref="J3:K3"/>
    <mergeCell ref="A23:M23"/>
    <mergeCell ref="A24:M24"/>
    <mergeCell ref="L3:M3"/>
    <mergeCell ref="A43:M43"/>
    <mergeCell ref="A44:M44"/>
    <mergeCell ref="A22:C22"/>
    <mergeCell ref="A28:C28"/>
    <mergeCell ref="A34:C34"/>
    <mergeCell ref="A40:C40"/>
    <mergeCell ref="A35:M35"/>
    <mergeCell ref="A36:M36"/>
    <mergeCell ref="A37:M37"/>
    <mergeCell ref="A38:M38"/>
    <mergeCell ref="A41:M41"/>
    <mergeCell ref="A42:M42"/>
    <mergeCell ref="A25:M25"/>
    <mergeCell ref="A26:M26"/>
    <mergeCell ref="A29:M29"/>
    <mergeCell ref="A30:M30"/>
  </mergeCells>
  <conditionalFormatting sqref="D5:D10">
    <cfRule type="expression" dxfId="17" priority="1">
      <formula>AND(ISNUMBER(D5),IF($C5=1,D5&lt;$L5,D5&gt;$L5))</formula>
    </cfRule>
  </conditionalFormatting>
  <conditionalFormatting sqref="D5:D10">
    <cfRule type="expression" dxfId="16" priority="2">
      <formula>AND(ISNUMBER(D5),IF($C5=1,D5&gt;$L5,D5&lt;$L5))</formula>
    </cfRule>
  </conditionalFormatting>
  <conditionalFormatting sqref="D13:D18">
    <cfRule type="expression" dxfId="15" priority="3">
      <formula>AND(ISNUMBER(D13),IF($C13=1,D13&lt;$L13,D13&gt;$L13))</formula>
    </cfRule>
  </conditionalFormatting>
  <conditionalFormatting sqref="D13:D18">
    <cfRule type="expression" dxfId="14" priority="4">
      <formula>AND(ISNUMBER(D13),IF($C13=1,D13&gt;$L13,D13&lt;$L13))</formula>
    </cfRule>
  </conditionalFormatting>
  <conditionalFormatting sqref="F5:F10">
    <cfRule type="expression" dxfId="13" priority="5">
      <formula>AND(ISNUMBER(F5),IF($C5=1,F5&lt;$L5,F5&gt;$L5))</formula>
    </cfRule>
  </conditionalFormatting>
  <conditionalFormatting sqref="F5:F10">
    <cfRule type="expression" dxfId="12" priority="6">
      <formula>AND(ISNUMBER(F5),IF($C5=1,F5&gt;$L5,F5&lt;$L5))</formula>
    </cfRule>
  </conditionalFormatting>
  <conditionalFormatting sqref="F13:F18">
    <cfRule type="expression" dxfId="11" priority="7">
      <formula>AND(ISNUMBER(F13),IF($C13=1,F13&lt;$L13,F13&gt;$L13))</formula>
    </cfRule>
  </conditionalFormatting>
  <conditionalFormatting sqref="F13:F18">
    <cfRule type="expression" dxfId="10" priority="8">
      <formula>AND(ISNUMBER(F13),IF($C13=1,F13&gt;$L13,F13&lt;$L13))</formula>
    </cfRule>
  </conditionalFormatting>
  <conditionalFormatting sqref="H5:H10">
    <cfRule type="expression" dxfId="9" priority="9">
      <formula>AND(ISNUMBER(H5),IF($C5=1,H5&lt;$L5,H5&gt;$L5))</formula>
    </cfRule>
  </conditionalFormatting>
  <conditionalFormatting sqref="H5:H10">
    <cfRule type="expression" dxfId="8" priority="10">
      <formula>AND(ISNUMBER(H5),IF($C5=1,H5&gt;$L5,H5&lt;$L5))</formula>
    </cfRule>
  </conditionalFormatting>
  <conditionalFormatting sqref="H13:H18">
    <cfRule type="expression" dxfId="7" priority="11">
      <formula>AND(ISNUMBER(H13),IF($C13=1,H13&lt;$L13,H13&gt;$L13))</formula>
    </cfRule>
  </conditionalFormatting>
  <conditionalFormatting sqref="H13:H18">
    <cfRule type="expression" dxfId="6" priority="12">
      <formula>AND(ISNUMBER(H13),IF($C13=1,H13&gt;$L13,H13&lt;$L13))</formula>
    </cfRule>
  </conditionalFormatting>
  <conditionalFormatting sqref="J5:J10">
    <cfRule type="expression" dxfId="5" priority="13">
      <formula>AND(ISNUMBER(J5),IF($C5=1,J5&lt;$L5,J5&gt;$L5))</formula>
    </cfRule>
  </conditionalFormatting>
  <conditionalFormatting sqref="J5:J10">
    <cfRule type="expression" dxfId="4" priority="14">
      <formula>AND(ISNUMBER(J5),IF($C5=1,J5&gt;$L5,J5&lt;$L5))</formula>
    </cfRule>
  </conditionalFormatting>
  <conditionalFormatting sqref="J13:J18">
    <cfRule type="expression" dxfId="3" priority="15">
      <formula>AND(ISNUMBER(J13),IF($C13=1,J13&lt;$L13,J13&gt;$L13))</formula>
    </cfRule>
  </conditionalFormatting>
  <conditionalFormatting sqref="J13:J18">
    <cfRule type="expression" dxfId="2" priority="16">
      <formula>AND(ISNUMBER(J13),IF($C13=1,J13&gt;$L13,J13&lt;$L13))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Export</vt:lpstr>
      <vt:lpstr>Salon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Downing</dc:creator>
  <cp:lastModifiedBy>Jeffrey Downing</cp:lastModifiedBy>
  <dcterms:created xsi:type="dcterms:W3CDTF">2026-07-25T12:10:06Z</dcterms:created>
  <dcterms:modified xsi:type="dcterms:W3CDTF">2026-07-26T18:36:45Z</dcterms:modified>
</cp:coreProperties>
</file>