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reat Clips\Power BI Data\Weekly All Salons\"/>
    </mc:Choice>
  </mc:AlternateContent>
  <xr:revisionPtr revIDLastSave="0" documentId="13_ncr:1_{3A0E1BEF-6457-4AF3-AA61-9C05CD59777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4" i="1" l="1"/>
  <c r="D94" i="1"/>
  <c r="C94" i="1"/>
</calcChain>
</file>

<file path=xl/sharedStrings.xml><?xml version="1.0" encoding="utf-8"?>
<sst xmlns="http://schemas.openxmlformats.org/spreadsheetml/2006/main" count="111" uniqueCount="111">
  <si>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</si>
  <si>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</si>
  <si>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</si>
  <si>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</si>
  <si>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</si>
  <si>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</si>
  <si>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</si>
  <si>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</si>
  <si>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</si>
  <si>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</si>
  <si>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</si>
  <si>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</si>
  <si>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</si>
  <si>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</si>
  <si>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</si>
  <si>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</si>
  <si>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</si>
  <si>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</si>
  <si>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</si>
  <si>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0527: Ridgemoor Commons</t>
  </si>
  <si>
    <t>3540: West Village Marketplace</t>
  </si>
  <si>
    <t>3750: Publix at County Line Road</t>
  </si>
  <si>
    <t>3800: Publix at Braden River</t>
  </si>
  <si>
    <t>0556: Caladesi Shopping Center</t>
  </si>
  <si>
    <t>0509: Sunset Point</t>
  </si>
  <si>
    <t>2277: Shoppes at Sugarmill Woods</t>
  </si>
  <si>
    <t>3708: 4th Street Shoppes</t>
  </si>
  <si>
    <t>8936: Landings Square</t>
  </si>
  <si>
    <t>0505: Creekwood Crossing</t>
  </si>
  <si>
    <t>4078: Apollo Beach at Waterset</t>
  </si>
  <si>
    <t>9349: Shoppes at Sunlake Centre</t>
  </si>
  <si>
    <t>0536: Clearwater Mall</t>
  </si>
  <si>
    <t>1886: Tuscola Commons</t>
  </si>
  <si>
    <t>2684: University Corners</t>
  </si>
  <si>
    <t>3826: Kings Crossing Publix</t>
  </si>
  <si>
    <t>3945: Gateway Commons</t>
  </si>
  <si>
    <t>5825: Bardmoor Promenade</t>
  </si>
  <si>
    <t>5829: Arbor Square</t>
  </si>
  <si>
    <t>3775: White Eagle</t>
  </si>
  <si>
    <t>0543: Seminole Oaks</t>
  </si>
  <si>
    <t>0529: Village Plaza at Westchase</t>
  </si>
  <si>
    <t>3087: Plantation Square</t>
  </si>
  <si>
    <t>0528: Soho Pointe</t>
  </si>
  <si>
    <t>2658: Starkey Ranch Town Square</t>
  </si>
  <si>
    <t>1381: Encore Commons</t>
  </si>
  <si>
    <t>8817: Town Square</t>
  </si>
  <si>
    <t>3609: Shoppes of Lake Miriam Crossing</t>
  </si>
  <si>
    <t>8072: High Glen</t>
  </si>
  <si>
    <t>0522: Publix at Parkwood Square</t>
  </si>
  <si>
    <t>9168: Zephyr Commons SC</t>
  </si>
  <si>
    <t>9286: Centergate Plaza</t>
  </si>
  <si>
    <t>3596: Belmont Development</t>
  </si>
  <si>
    <t>1369: Sarasota Crossings</t>
  </si>
  <si>
    <t>0688: Southshore Village</t>
  </si>
  <si>
    <t>9023: Hays Road Town Center</t>
  </si>
  <si>
    <t>2633: The Shops at Shelby Crossing</t>
  </si>
  <si>
    <t>0663: Shoppes of Citrus Hills</t>
  </si>
  <si>
    <t>1194: Lithia Crossings</t>
  </si>
  <si>
    <t>3331: Terrace Ridge Plaza</t>
  </si>
  <si>
    <t>8940: The Shoppes at Northwoods</t>
  </si>
  <si>
    <t>9646: Highland City Towncenter</t>
  </si>
  <si>
    <t>1380: Ridge Plaza</t>
  </si>
  <si>
    <t>9022: Towne Centre at Wesley Chapel</t>
  </si>
  <si>
    <t>0526: Pinebrook Commons</t>
  </si>
  <si>
    <t>2013: Shoppes at the Royale</t>
  </si>
  <si>
    <t>5842: The Bluffs</t>
  </si>
  <si>
    <t>9841: Shoppes of Heron Creek</t>
  </si>
  <si>
    <t>0555: Tarpon Springs Mall</t>
  </si>
  <si>
    <t>3950: Cross Creek Commons</t>
  </si>
  <si>
    <t>3892: University Walk</t>
  </si>
  <si>
    <t>0544: Venice Village</t>
  </si>
  <si>
    <t>3859: Plaza of The Oaks</t>
  </si>
  <si>
    <t>0534: Mitchell Ranch Plaza</t>
  </si>
  <si>
    <t>9610: City Crossings</t>
  </si>
  <si>
    <t>8696: City Plaza at Tampa Palms</t>
  </si>
  <si>
    <t>2023: Venice Commons</t>
  </si>
  <si>
    <t>1715: Hillsboro Plaza</t>
  </si>
  <si>
    <t>1694: Southeast Plaza</t>
  </si>
  <si>
    <t>5843: Goolsby Pointe</t>
  </si>
  <si>
    <t>0557: Northwood Plaza</t>
  </si>
  <si>
    <t>2544: Target Center</t>
  </si>
  <si>
    <t>1053: Valrico Commons</t>
  </si>
  <si>
    <t>8721: Shoppes at Citrus Park</t>
  </si>
  <si>
    <t>0510: Carrollwood Commons</t>
  </si>
  <si>
    <t>1366: Shoppes at Grand Cypress</t>
  </si>
  <si>
    <t>0538: University Village</t>
  </si>
  <si>
    <t>0518: Beneva Village SC</t>
  </si>
  <si>
    <t>3672: Champions Crossing</t>
  </si>
  <si>
    <t>0392: Nokomis Village</t>
  </si>
  <si>
    <t>0697: Van Dyke Commons</t>
  </si>
  <si>
    <t>1460: Publix at Seven Hills</t>
  </si>
  <si>
    <t>9640: Shoppes of South Bay</t>
  </si>
  <si>
    <t>3339: Market at Mirada</t>
  </si>
  <si>
    <t>2889: Lakewood Plaza</t>
  </si>
  <si>
    <t>2988: Loughman Crossing</t>
  </si>
  <si>
    <t>0539: Spring Hill</t>
  </si>
  <si>
    <t>0523: Palms of Carrollwood</t>
  </si>
  <si>
    <t>8733: Town and Country Square</t>
  </si>
  <si>
    <t>8726: North East Park</t>
  </si>
  <si>
    <t>2791: Mariner Commons</t>
  </si>
  <si>
    <t>3991: Fresh Market Promenade</t>
  </si>
  <si>
    <t>8946: Pavilion Crossing</t>
  </si>
  <si>
    <t>7072: French Golden Gate</t>
  </si>
  <si>
    <t>1724: Kingsway Crossing</t>
  </si>
  <si>
    <t>0937: Hollybrook Plaza</t>
  </si>
  <si>
    <t>3288: Alafia Commons</t>
  </si>
  <si>
    <t>1370: Lakewood Ranch Plaza</t>
  </si>
  <si>
    <t>0540: Shoppes on the Ridge</t>
  </si>
  <si>
    <t>5834: Cortez Commons</t>
  </si>
  <si>
    <t>0546: Shoppes at Boot Ranch</t>
  </si>
  <si>
    <t>4216: North River 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</si>
</sst>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3">
    <font>
      <sz val="11"/>
      <name val="Aptos Narrow"/>
    </font>
    <font>
      <b/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/>
    <xf numFmtId="0" fontId="0" fillId="0" borderId="1" xfId="0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 wrapText="1"/>
    </xf>
    <xf numFmtId="166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" fontId="0" fillId="0" borderId="0" xfId="0" applyNumberFormat="1" applyAlignment="1">
      <alignment horizontal="center" wrapText="1"/>
    </xf>
    <xf numFmtId="167" fontId="0" fillId="0" borderId="0" xfId="0" applyNumberFormat="1" applyAlignment="1">
      <alignment horizontal="center" wrapText="1"/>
    </xf>
    <xf numFmtId="168" fontId="0" fillId="0" borderId="0" xfId="0" applyNumberFormat="1" applyAlignment="1">
      <alignment horizontal="center" wrapText="1"/>
    </xf>
    <xf numFmtId="3" fontId="2" fillId="2" borderId="0" xfId="0" applyNumberFormat="1" applyFont="1" applyFill="1" applyAlignment="1">
      <alignment horizontal="center" wrapText="1"/>
    </xf>
    <xf numFmtId="164" fontId="2" fillId="2" borderId="0" xfId="0" applyNumberFormat="1" applyFont="1" applyFill="1" applyAlignment="1">
      <alignment horizontal="center" wrapText="1"/>
    </xf>
    <xf numFmtId="165" fontId="2" fillId="2" borderId="0" xfId="0" applyNumberFormat="1" applyFont="1" applyFill="1" applyAlignment="1">
      <alignment horizontal="center" wrapText="1"/>
    </xf>
    <xf numFmtId="166" fontId="2" fillId="2" borderId="0" xfId="0" applyNumberFormat="1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" fontId="2" fillId="2" borderId="0" xfId="0" applyNumberFormat="1" applyFont="1" applyFill="1" applyAlignment="1">
      <alignment horizontal="center" wrapText="1"/>
    </xf>
    <xf numFmtId="167" fontId="2" fillId="2" borderId="0" xfId="0" applyNumberFormat="1" applyFont="1" applyFill="1" applyAlignment="1">
      <alignment horizontal="center" wrapText="1"/>
    </xf>
    <xf numFmtId="168" fontId="2" fillId="2" borderId="0" xfId="0" applyNumberFormat="1" applyFont="1" applyFill="1" applyAlignment="1">
      <alignment horizontal="center" wrapText="1"/>
    </xf>
    <xf numFmtId="3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166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center" wrapText="1"/>
    </xf>
    <xf numFmtId="167" fontId="1" fillId="0" borderId="0" xfId="0" applyNumberFormat="1" applyFont="1" applyAlignment="1">
      <alignment horizontal="center" wrapText="1"/>
    </xf>
    <xf numFmtId="168" fontId="1" fillId="0" borderId="0" xfId="0" applyNumberFormat="1" applyFont="1" applyAlignment="1">
      <alignment horizontal="center" wrapText="1"/>
    </xf>
    <xf numFmtId="169" fontId="0" fillId="0" borderId="2" xfId="0" applyNumberFormat="1" applyBorder="1" applyAlignment="1">
      <alignment horizontal="center" wrapText="1"/>
    </xf>
    <xf numFmtId="169" fontId="2" fillId="2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40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8" formatCode="\$#,##0.00;\(\$#,##0.00\);\$#,##0.0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8" formatCode="\$#,##0.00;\(\$#,##0.00\);\$#,##0.0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4" formatCode="#,##0.0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4" formatCode="#,##0.0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6" formatCode="0.0%;\-0.0%;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6" formatCode="0.0%;\-0.0%;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4" formatCode="#,##0.00%;\-#,##0.00%;#,##0.0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4" formatCode="#,##0.00%;\-#,##0.00%;#,##0.0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6C3B94-43F7-48DE-9374-6E3E554BEE28}" name="Table1" displayName="Table1" ref="A1:S94" totalsRowCount="1" dataDxfId="38" headerRowBorderDxfId="39">
  <autoFilter ref="A1:S93" xr:uid="{DC6C3B94-43F7-48DE-9374-6E3E554BEE28}"/>
  <sortState xmlns:xlrd2="http://schemas.microsoft.com/office/spreadsheetml/2017/richdata2" ref="A2:S93">
    <sortCondition descending="1" ref="H1:H93"/>
  </sortState>
  <tableColumns count="19">
    <tableColumn id="1" xr3:uid="{1F897501-403E-451F-966F-29A9962D5245}" name="Salon" dataDxfId="2" totalsRowDxfId="37"/>
    <tableColumn id="2" xr3:uid="{0869CF93-817B-438F-B726-148F0E2198CA}" name="SalonWeekEndingDate" dataDxfId="1" totalsRowDxfId="0"/>
    <tableColumn id="3" xr3:uid="{0CE0BBCB-76F9-4C07-B3AF-6C72596A804E}" name="Cust Count" totalsRowFunction="sum" dataDxfId="35" totalsRowDxfId="36"/>
    <tableColumn id="4" xr3:uid="{5C6C0BD1-CFC2-4B3E-80D1-866A6AD4EAF9}" name="Cust Count Last Year" totalsRowFunction="sum" dataDxfId="33" totalsRowDxfId="34"/>
    <tableColumn id="5" xr3:uid="{E230F945-DDE3-4E44-93BA-48203E69FA43}" name="Cust Count % Change" totalsRowFunction="custom" dataDxfId="31" totalsRowDxfId="32">
      <totalsRowFormula>+Table1[[#Totals],[Cust Count]]/Table1[[#Totals],[Cust Count Last Year]]-1</totalsRowFormula>
    </tableColumn>
    <tableColumn id="6" xr3:uid="{4588242A-1105-4CBF-A753-C161B5972D71}" name="New Cust" dataDxfId="29" totalsRowDxfId="30"/>
    <tableColumn id="7" xr3:uid="{6012BF04-E621-4777-922E-1257D60DA75A}" name="New Cust %" dataDxfId="27" totalsRowDxfId="28"/>
    <tableColumn id="8" xr3:uid="{16251BF9-0189-4C11-874D-16C79DFEFC98}" name="Salon New Cust Return %" dataDxfId="25" totalsRowDxfId="26"/>
    <tableColumn id="9" xr3:uid="{49766AAE-5D8F-4F42-ADF2-333CA165B4D7}" name="Salon Repeat Cust Return %" dataDxfId="23" totalsRowDxfId="24"/>
    <tableColumn id="10" xr3:uid="{9BCE55F4-622D-46BA-A0B4-9BB51D95B02D}" name="Floor Hours" dataDxfId="21" totalsRowDxfId="22"/>
    <tableColumn id="11" xr3:uid="{594ACCCF-B251-49A4-9ED5-17F8EEE1DAD3}" name="Sat/Sun Floor Hours %" dataDxfId="19" totalsRowDxfId="20"/>
    <tableColumn id="12" xr3:uid="{7100EE5B-7191-4119-9066-FB2CA9ED3E15}" name="Floor Hours Growth" dataDxfId="17" totalsRowDxfId="18"/>
    <tableColumn id="13" xr3:uid="{21DAA4D8-D436-4B56-8567-88607AF559EC}" name="Wait Times &gt; 15Min %" dataDxfId="15" totalsRowDxfId="16"/>
    <tableColumn id="14" xr3:uid="{E28E7885-9321-4C65-9876-4CBC91C499FF}" name="Sat/Sun Wait Times &gt; 15Min %" dataDxfId="13" totalsRowDxfId="14"/>
    <tableColumn id="15" xr3:uid="{C7CD3BAF-6634-4F6F-B7CD-2828DE038F91}" name="Avg Wait Time" dataDxfId="11" totalsRowDxfId="12"/>
    <tableColumn id="16" xr3:uid="{7B0D3776-CA61-4EB2-91FC-217BA430DF67}" name="Avg HC Time" dataDxfId="9" totalsRowDxfId="10"/>
    <tableColumn id="17" xr3:uid="{EECDBB2B-E1BA-4A4C-84C0-801BC7016CFB}" name="CPH" dataDxfId="7" totalsRowDxfId="8"/>
    <tableColumn id="18" xr3:uid="{F41FE55B-5710-47CD-9037-EF294975B0C1}" name="Productivity" dataDxfId="5" totalsRowDxfId="6"/>
    <tableColumn id="19" xr3:uid="{FEC31769-B9E8-49A9-AE01-FCF6A3B7F717}" name="Discount %" dataDxfId="4" totalsRow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"/>
  <sheetViews>
    <sheetView tabSelected="1" workbookViewId="0">
      <selection activeCell="C5" sqref="C5"/>
    </sheetView>
  </sheetViews>
  <sheetFormatPr defaultRowHeight="14.4"/>
  <cols>
    <col min="1" max="1" width="36.5546875" customWidth="1"/>
    <col min="2" max="2" width="24" style="10" customWidth="1"/>
    <col min="3" max="19" width="16.21875" style="10" customWidth="1"/>
  </cols>
  <sheetData>
    <row r="1" spans="1:19" ht="28.8" customHeight="1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>
      <c r="A2" s="2" t="s">
        <v>19</v>
      </c>
      <c r="B2" s="30">
        <v>46059</v>
      </c>
      <c r="C2" s="6">
        <v>291</v>
      </c>
      <c r="D2" s="6">
        <v>395</v>
      </c>
      <c r="E2" s="7">
        <v>-0.26329113924050634</v>
      </c>
      <c r="F2" s="6">
        <v>26</v>
      </c>
      <c r="G2" s="8">
        <v>8.9347079037800689E-2</v>
      </c>
      <c r="H2" s="9">
        <v>0.46400000000000002</v>
      </c>
      <c r="I2" s="8">
        <v>0.86699999999999999</v>
      </c>
      <c r="J2" s="6">
        <v>136.65</v>
      </c>
      <c r="K2" s="8">
        <v>0.255</v>
      </c>
      <c r="L2" s="10">
        <v>-15.710000000000008</v>
      </c>
      <c r="M2" s="8">
        <v>0.17199999999999999</v>
      </c>
      <c r="N2" s="8">
        <v>0.184</v>
      </c>
      <c r="O2" s="11">
        <v>6.648797250859106</v>
      </c>
      <c r="P2" s="12">
        <v>17.08939929328622</v>
      </c>
      <c r="Q2" s="12">
        <v>2.15298899625266</v>
      </c>
      <c r="R2" s="13">
        <v>40.951335528723014</v>
      </c>
      <c r="S2" s="8">
        <v>2.0771979985704073E-2</v>
      </c>
    </row>
    <row r="3" spans="1:19">
      <c r="A3" s="2" t="s">
        <v>20</v>
      </c>
      <c r="B3" s="30">
        <v>46059</v>
      </c>
      <c r="C3" s="6">
        <v>600</v>
      </c>
      <c r="D3" s="6">
        <v>645</v>
      </c>
      <c r="E3" s="7">
        <v>-6.9767441860465115E-2</v>
      </c>
      <c r="F3" s="6">
        <v>123</v>
      </c>
      <c r="G3" s="8">
        <v>0.20499999999999999</v>
      </c>
      <c r="H3" s="9">
        <v>0.41299999999999998</v>
      </c>
      <c r="I3" s="8">
        <v>0.79200000000000004</v>
      </c>
      <c r="J3" s="6">
        <v>213.31</v>
      </c>
      <c r="K3" s="8">
        <v>0.25900000000000001</v>
      </c>
      <c r="L3" s="10">
        <v>-17.490000000000009</v>
      </c>
      <c r="M3" s="8">
        <v>8.5000000000000006E-2</v>
      </c>
      <c r="N3" s="8">
        <v>0.129</v>
      </c>
      <c r="O3" s="11">
        <v>3.8443333333333332</v>
      </c>
      <c r="P3" s="12">
        <v>11.801041666666666</v>
      </c>
      <c r="Q3" s="12">
        <v>2.8022249894126157</v>
      </c>
      <c r="R3" s="13">
        <v>56.865594674417515</v>
      </c>
      <c r="S3" s="8">
        <v>2.6801288404360753E-2</v>
      </c>
    </row>
    <row r="4" spans="1:19" s="4" customFormat="1">
      <c r="A4" s="3" t="s">
        <v>21</v>
      </c>
      <c r="B4" s="31">
        <v>46059</v>
      </c>
      <c r="C4" s="14">
        <v>226</v>
      </c>
      <c r="D4" s="14">
        <v>234</v>
      </c>
      <c r="E4" s="15">
        <v>-3.4188034188034191E-2</v>
      </c>
      <c r="F4" s="14">
        <v>64</v>
      </c>
      <c r="G4" s="16">
        <v>0.2831858407079646</v>
      </c>
      <c r="H4" s="17">
        <v>0.40500000000000003</v>
      </c>
      <c r="I4" s="16">
        <v>0.74299999999999999</v>
      </c>
      <c r="J4" s="14">
        <v>142.33000000000001</v>
      </c>
      <c r="K4" s="16">
        <v>0.28899999999999998</v>
      </c>
      <c r="L4" s="18">
        <v>10.910000000000025</v>
      </c>
      <c r="M4" s="16">
        <v>7.0999999999999994E-2</v>
      </c>
      <c r="N4" s="16">
        <v>0.11600000000000001</v>
      </c>
      <c r="O4" s="19">
        <v>3.717699115044248</v>
      </c>
      <c r="P4" s="20">
        <v>13.855714285714285</v>
      </c>
      <c r="Q4" s="20">
        <v>1.6199466753971639</v>
      </c>
      <c r="R4" s="21">
        <v>31.426965502704977</v>
      </c>
      <c r="S4" s="16">
        <v>9.773393461104847E-2</v>
      </c>
    </row>
    <row r="5" spans="1:19" s="4" customFormat="1">
      <c r="A5" s="3" t="s">
        <v>22</v>
      </c>
      <c r="B5" s="31">
        <v>46059</v>
      </c>
      <c r="C5" s="14">
        <v>425</v>
      </c>
      <c r="D5" s="14">
        <v>395</v>
      </c>
      <c r="E5" s="15">
        <v>7.5949367088607597E-2</v>
      </c>
      <c r="F5" s="14">
        <v>117</v>
      </c>
      <c r="G5" s="16">
        <v>0.2752941176470588</v>
      </c>
      <c r="H5" s="17">
        <v>0.39800000000000002</v>
      </c>
      <c r="I5" s="16">
        <v>0.79400000000000004</v>
      </c>
      <c r="J5" s="14">
        <v>185.95</v>
      </c>
      <c r="K5" s="16">
        <v>0.28999999999999998</v>
      </c>
      <c r="L5" s="18">
        <v>9.1299999999999955</v>
      </c>
      <c r="M5" s="16">
        <v>9.4E-2</v>
      </c>
      <c r="N5" s="16">
        <v>9.8000000000000004E-2</v>
      </c>
      <c r="O5" s="19">
        <v>3.8924705882352941</v>
      </c>
      <c r="P5" s="20">
        <v>15.369727047146402</v>
      </c>
      <c r="Q5" s="20">
        <v>2.3228926455360654</v>
      </c>
      <c r="R5" s="21">
        <v>45.410056466792149</v>
      </c>
      <c r="S5" s="16">
        <v>2.5389625769777355E-2</v>
      </c>
    </row>
    <row r="6" spans="1:19">
      <c r="A6" s="2" t="s">
        <v>23</v>
      </c>
      <c r="B6" s="30">
        <v>46059</v>
      </c>
      <c r="C6" s="6">
        <v>395</v>
      </c>
      <c r="D6" s="6">
        <v>416</v>
      </c>
      <c r="E6" s="7">
        <v>-5.0480769230769232E-2</v>
      </c>
      <c r="F6" s="6">
        <v>70</v>
      </c>
      <c r="G6" s="8">
        <v>0.17721518987341772</v>
      </c>
      <c r="H6" s="9">
        <v>0.38600000000000001</v>
      </c>
      <c r="I6" s="8">
        <v>0.79200000000000004</v>
      </c>
      <c r="J6" s="6">
        <v>191.85</v>
      </c>
      <c r="K6" s="8">
        <v>0.254</v>
      </c>
      <c r="L6" s="10">
        <v>24.789999999999992</v>
      </c>
      <c r="M6" s="8">
        <v>0.106</v>
      </c>
      <c r="N6" s="8">
        <v>6.3E-2</v>
      </c>
      <c r="O6" s="11">
        <v>4.4253164556962021</v>
      </c>
      <c r="P6" s="12">
        <v>15.576657824933687</v>
      </c>
      <c r="Q6" s="12">
        <v>2.0854777226942978</v>
      </c>
      <c r="R6" s="13">
        <v>41.256189731561115</v>
      </c>
      <c r="S6" s="8">
        <v>2.354769425142135E-2</v>
      </c>
    </row>
    <row r="7" spans="1:19">
      <c r="A7" s="2" t="s">
        <v>24</v>
      </c>
      <c r="B7" s="30">
        <v>46059</v>
      </c>
      <c r="C7" s="6">
        <v>359</v>
      </c>
      <c r="D7" s="6">
        <v>439</v>
      </c>
      <c r="E7" s="7">
        <v>-0.18223234624145787</v>
      </c>
      <c r="F7" s="6">
        <v>57</v>
      </c>
      <c r="G7" s="8">
        <v>0.15877437325905291</v>
      </c>
      <c r="H7" s="9">
        <v>0.371</v>
      </c>
      <c r="I7" s="8">
        <v>0.75800000000000001</v>
      </c>
      <c r="J7" s="6">
        <v>153.46</v>
      </c>
      <c r="K7" s="8">
        <v>0.22900000000000001</v>
      </c>
      <c r="L7" s="10">
        <v>-53.039999999999992</v>
      </c>
      <c r="M7" s="8">
        <v>0.16200000000000001</v>
      </c>
      <c r="N7" s="8">
        <v>8.5000000000000006E-2</v>
      </c>
      <c r="O7" s="11">
        <v>6.3314763231197775</v>
      </c>
      <c r="P7" s="12">
        <v>14.498542274052479</v>
      </c>
      <c r="Q7" s="12">
        <v>2.3496710546085242</v>
      </c>
      <c r="R7" s="13">
        <v>46.598462139971325</v>
      </c>
      <c r="S7" s="8">
        <v>3.0253111452943644E-2</v>
      </c>
    </row>
    <row r="8" spans="1:19">
      <c r="A8" s="2" t="s">
        <v>25</v>
      </c>
      <c r="B8" s="30">
        <v>46059</v>
      </c>
      <c r="C8" s="6">
        <v>404</v>
      </c>
      <c r="D8" s="6">
        <v>472</v>
      </c>
      <c r="E8" s="7">
        <v>-0.1440677966101695</v>
      </c>
      <c r="F8" s="6">
        <v>80</v>
      </c>
      <c r="G8" s="8">
        <v>0.19801980198019803</v>
      </c>
      <c r="H8" s="9">
        <v>0.37</v>
      </c>
      <c r="I8" s="8">
        <v>0.81599999999999995</v>
      </c>
      <c r="J8" s="6">
        <v>197.72</v>
      </c>
      <c r="K8" s="8">
        <v>0.25700000000000001</v>
      </c>
      <c r="L8" s="10">
        <v>-2.4799999999999898</v>
      </c>
      <c r="M8" s="8">
        <v>7.9000000000000001E-2</v>
      </c>
      <c r="N8" s="8">
        <v>0.126</v>
      </c>
      <c r="O8" s="11">
        <v>3.9933168316831682</v>
      </c>
      <c r="P8" s="12">
        <v>14.021671018276763</v>
      </c>
      <c r="Q8" s="12">
        <v>2.0951701686436821</v>
      </c>
      <c r="R8" s="13">
        <v>37.077685616022656</v>
      </c>
      <c r="S8" s="8">
        <v>9.9768108034374581E-3</v>
      </c>
    </row>
    <row r="9" spans="1:19">
      <c r="A9" s="2" t="s">
        <v>26</v>
      </c>
      <c r="B9" s="30">
        <v>46059</v>
      </c>
      <c r="C9" s="6">
        <v>286</v>
      </c>
      <c r="D9" s="6">
        <v>341</v>
      </c>
      <c r="E9" s="7">
        <v>-0.16129032258064516</v>
      </c>
      <c r="F9" s="6">
        <v>83</v>
      </c>
      <c r="G9" s="8">
        <v>0.29020979020979021</v>
      </c>
      <c r="H9" s="9">
        <v>0.36699999999999999</v>
      </c>
      <c r="I9" s="8">
        <v>0.79800000000000004</v>
      </c>
      <c r="J9" s="6">
        <v>167.86</v>
      </c>
      <c r="K9" s="8">
        <v>0.246</v>
      </c>
      <c r="L9" s="10">
        <v>-4.75</v>
      </c>
      <c r="M9" s="8">
        <v>0.154</v>
      </c>
      <c r="N9" s="8">
        <v>0.29899999999999999</v>
      </c>
      <c r="O9" s="11">
        <v>5.8300699300699304</v>
      </c>
      <c r="P9" s="12">
        <v>15.30754716981132</v>
      </c>
      <c r="Q9" s="12">
        <v>1.7295695742103743</v>
      </c>
      <c r="R9" s="13">
        <v>35.053020374121289</v>
      </c>
      <c r="S9" s="8">
        <v>5.0028891910265126E-2</v>
      </c>
    </row>
    <row r="10" spans="1:19">
      <c r="A10" s="2" t="s">
        <v>27</v>
      </c>
      <c r="B10" s="30">
        <v>46059</v>
      </c>
      <c r="C10" s="6">
        <v>545</v>
      </c>
      <c r="D10" s="6">
        <v>542</v>
      </c>
      <c r="E10" s="7">
        <v>5.5350553505535052E-3</v>
      </c>
      <c r="F10" s="6">
        <v>136</v>
      </c>
      <c r="G10" s="8">
        <v>0.24954128440366974</v>
      </c>
      <c r="H10" s="9">
        <v>0.34499999999999997</v>
      </c>
      <c r="I10" s="8">
        <v>0.76900000000000002</v>
      </c>
      <c r="J10" s="6">
        <v>201.63</v>
      </c>
      <c r="K10" s="8">
        <v>0.22</v>
      </c>
      <c r="L10" s="10">
        <v>14.72999999999999</v>
      </c>
      <c r="M10" s="8">
        <v>0.13600000000000001</v>
      </c>
      <c r="N10" s="8">
        <v>0.129</v>
      </c>
      <c r="O10" s="11">
        <v>6.4418348623853214</v>
      </c>
      <c r="P10" s="12">
        <v>13.324902723735409</v>
      </c>
      <c r="Q10" s="12">
        <v>2.7371416348827537</v>
      </c>
      <c r="R10" s="13">
        <v>56.484650101671377</v>
      </c>
      <c r="S10" s="8">
        <v>3.5679598838743734E-2</v>
      </c>
    </row>
    <row r="11" spans="1:19">
      <c r="A11" s="2" t="s">
        <v>28</v>
      </c>
      <c r="B11" s="30">
        <v>46059</v>
      </c>
      <c r="C11" s="6">
        <v>365</v>
      </c>
      <c r="D11" s="6">
        <v>439</v>
      </c>
      <c r="E11" s="7">
        <v>-0.16856492027334852</v>
      </c>
      <c r="F11" s="6">
        <v>80</v>
      </c>
      <c r="G11" s="8">
        <v>0.21917808219178081</v>
      </c>
      <c r="H11" s="9">
        <v>0.34399999999999997</v>
      </c>
      <c r="I11" s="8">
        <v>0.73</v>
      </c>
      <c r="J11" s="6">
        <v>172.56</v>
      </c>
      <c r="K11" s="8">
        <v>0.224</v>
      </c>
      <c r="L11" s="10">
        <v>-23.879999999999995</v>
      </c>
      <c r="M11" s="8">
        <v>0.20300000000000001</v>
      </c>
      <c r="N11" s="8">
        <v>0.109</v>
      </c>
      <c r="O11" s="11">
        <v>8.0284931506849322</v>
      </c>
      <c r="P11" s="12">
        <v>15.470571428571429</v>
      </c>
      <c r="Q11" s="12">
        <v>2.1357791192411528</v>
      </c>
      <c r="R11" s="13">
        <v>39.603616133518777</v>
      </c>
      <c r="S11" s="8">
        <v>1.8554429263992946E-2</v>
      </c>
    </row>
    <row r="12" spans="1:19">
      <c r="A12" s="2" t="s">
        <v>29</v>
      </c>
      <c r="B12" s="30">
        <v>46059</v>
      </c>
      <c r="C12" s="6">
        <v>211</v>
      </c>
      <c r="D12" s="6">
        <v>251</v>
      </c>
      <c r="E12" s="7">
        <v>-0.15936254980079681</v>
      </c>
      <c r="F12" s="6">
        <v>45</v>
      </c>
      <c r="G12" s="8">
        <v>0.2132701421800948</v>
      </c>
      <c r="H12" s="9">
        <v>0.34</v>
      </c>
      <c r="I12" s="8">
        <v>0.80400000000000005</v>
      </c>
      <c r="J12" s="6">
        <v>155.15</v>
      </c>
      <c r="K12" s="8">
        <v>0.29899999999999999</v>
      </c>
      <c r="L12" s="10">
        <v>-33.129999999999995</v>
      </c>
      <c r="M12" s="8">
        <v>3.3000000000000002E-2</v>
      </c>
      <c r="N12" s="8">
        <v>0</v>
      </c>
      <c r="O12" s="11">
        <v>2.6241706161137444</v>
      </c>
      <c r="P12" s="12">
        <v>15.10752688172043</v>
      </c>
      <c r="Q12" s="12">
        <v>1.3880952109918381</v>
      </c>
      <c r="R12" s="13">
        <v>28.069610054785691</v>
      </c>
      <c r="S12" s="8">
        <v>1.7253731343283583E-2</v>
      </c>
    </row>
    <row r="13" spans="1:19">
      <c r="A13" s="2" t="s">
        <v>30</v>
      </c>
      <c r="B13" s="30">
        <v>46059</v>
      </c>
      <c r="C13" s="6">
        <v>601</v>
      </c>
      <c r="D13" s="6">
        <v>671</v>
      </c>
      <c r="E13" s="7">
        <v>-0.10432190760059612</v>
      </c>
      <c r="F13" s="6">
        <v>76</v>
      </c>
      <c r="G13" s="8">
        <v>0.12645590682196339</v>
      </c>
      <c r="H13" s="9">
        <v>0.33800000000000002</v>
      </c>
      <c r="I13" s="8">
        <v>0.80400000000000005</v>
      </c>
      <c r="J13" s="6">
        <v>226.67</v>
      </c>
      <c r="K13" s="8">
        <v>0.28100000000000003</v>
      </c>
      <c r="L13" s="10">
        <v>-27.97</v>
      </c>
      <c r="M13" s="8">
        <v>0.115</v>
      </c>
      <c r="N13" s="8">
        <v>0.122</v>
      </c>
      <c r="O13" s="11">
        <v>5.7685524126455912</v>
      </c>
      <c r="P13" s="12">
        <v>14.953736654804271</v>
      </c>
      <c r="Q13" s="12">
        <v>2.6658235801816081</v>
      </c>
      <c r="R13" s="13">
        <v>51.405126395200071</v>
      </c>
      <c r="S13" s="8">
        <v>4.5011174144748152E-2</v>
      </c>
    </row>
    <row r="14" spans="1:19">
      <c r="A14" s="2" t="s">
        <v>32</v>
      </c>
      <c r="B14" s="30">
        <v>46059</v>
      </c>
      <c r="C14" s="6">
        <v>426</v>
      </c>
      <c r="D14" s="6">
        <v>467</v>
      </c>
      <c r="E14" s="7">
        <v>-8.7794432548179868E-2</v>
      </c>
      <c r="F14" s="6">
        <v>113</v>
      </c>
      <c r="G14" s="8">
        <v>0.26525821596244131</v>
      </c>
      <c r="H14" s="9">
        <v>0.33300000000000002</v>
      </c>
      <c r="I14" s="8">
        <v>0.75800000000000001</v>
      </c>
      <c r="J14" s="6">
        <v>173.93</v>
      </c>
      <c r="K14" s="8">
        <v>0.25900000000000001</v>
      </c>
      <c r="L14" s="10">
        <v>0.53000000000000114</v>
      </c>
      <c r="M14" s="8">
        <v>0.13400000000000001</v>
      </c>
      <c r="N14" s="8">
        <v>0.14899999999999999</v>
      </c>
      <c r="O14" s="11">
        <v>5.9356807511737086</v>
      </c>
      <c r="P14" s="12">
        <v>12.743142144638403</v>
      </c>
      <c r="Q14" s="12">
        <v>2.4839663985240277</v>
      </c>
      <c r="R14" s="13">
        <v>48.910481228080258</v>
      </c>
      <c r="S14" s="8">
        <v>3.0130480780533677E-2</v>
      </c>
    </row>
    <row r="15" spans="1:19">
      <c r="A15" s="2" t="s">
        <v>31</v>
      </c>
      <c r="B15" s="30">
        <v>46059</v>
      </c>
      <c r="C15" s="6">
        <v>427</v>
      </c>
      <c r="D15" s="6">
        <v>573</v>
      </c>
      <c r="E15" s="7">
        <v>-0.25479930191972078</v>
      </c>
      <c r="F15" s="6">
        <v>102</v>
      </c>
      <c r="G15" s="8">
        <v>0.2388758782201405</v>
      </c>
      <c r="H15" s="9">
        <v>0.33300000000000002</v>
      </c>
      <c r="I15" s="8">
        <v>0.76100000000000001</v>
      </c>
      <c r="J15" s="6">
        <v>162.54</v>
      </c>
      <c r="K15" s="8">
        <v>0.25</v>
      </c>
      <c r="L15" s="10">
        <v>-67.349999999999994</v>
      </c>
      <c r="M15" s="8">
        <v>0.159</v>
      </c>
      <c r="N15" s="8">
        <v>0.19800000000000001</v>
      </c>
      <c r="O15" s="11">
        <v>5.8459016393442615</v>
      </c>
      <c r="P15" s="12">
        <v>13.512776412776413</v>
      </c>
      <c r="Q15" s="12">
        <v>2.6773100304690924</v>
      </c>
      <c r="R15" s="13">
        <v>52.903900578319188</v>
      </c>
      <c r="S15" s="8">
        <v>2.446547493866106E-2</v>
      </c>
    </row>
    <row r="16" spans="1:19" s="4" customFormat="1">
      <c r="A16" s="3" t="s">
        <v>34</v>
      </c>
      <c r="B16" s="31">
        <v>46059</v>
      </c>
      <c r="C16" s="14">
        <v>415</v>
      </c>
      <c r="D16" s="14">
        <v>434</v>
      </c>
      <c r="E16" s="15">
        <v>-4.377880184331797E-2</v>
      </c>
      <c r="F16" s="14">
        <v>69</v>
      </c>
      <c r="G16" s="16">
        <v>0.16626506024096385</v>
      </c>
      <c r="H16" s="17">
        <v>0.33300000000000002</v>
      </c>
      <c r="I16" s="16">
        <v>0.81699999999999995</v>
      </c>
      <c r="J16" s="14">
        <v>215.97</v>
      </c>
      <c r="K16" s="16">
        <v>0.249</v>
      </c>
      <c r="L16" s="18">
        <v>38.099999999999994</v>
      </c>
      <c r="M16" s="16">
        <v>0.186</v>
      </c>
      <c r="N16" s="16">
        <v>0.17100000000000001</v>
      </c>
      <c r="O16" s="19">
        <v>7.1303614457831319</v>
      </c>
      <c r="P16" s="20">
        <v>16.857908163265307</v>
      </c>
      <c r="Q16" s="20">
        <v>1.9906425032594715</v>
      </c>
      <c r="R16" s="21">
        <v>36.921794693707461</v>
      </c>
      <c r="S16" s="16">
        <v>3.3176573865061454E-2</v>
      </c>
    </row>
    <row r="17" spans="1:19">
      <c r="A17" s="2" t="s">
        <v>33</v>
      </c>
      <c r="B17" s="30">
        <v>46059</v>
      </c>
      <c r="C17" s="6">
        <v>416</v>
      </c>
      <c r="D17" s="6">
        <v>467</v>
      </c>
      <c r="E17" s="7">
        <v>-0.10920770877944326</v>
      </c>
      <c r="F17" s="6">
        <v>57</v>
      </c>
      <c r="G17" s="8">
        <v>0.13701923076923078</v>
      </c>
      <c r="H17" s="9">
        <v>0.33300000000000002</v>
      </c>
      <c r="I17" s="8">
        <v>0.83699999999999997</v>
      </c>
      <c r="J17" s="6">
        <v>186.47</v>
      </c>
      <c r="K17" s="8">
        <v>0.22900000000000001</v>
      </c>
      <c r="L17" s="10">
        <v>-11.22999999999999</v>
      </c>
      <c r="M17" s="8">
        <v>0.13500000000000001</v>
      </c>
      <c r="N17" s="8">
        <v>0.14699999999999999</v>
      </c>
      <c r="O17" s="11">
        <v>5.520913461538461</v>
      </c>
      <c r="P17" s="12">
        <v>15.041878172588833</v>
      </c>
      <c r="Q17" s="12">
        <v>2.2461030275451419</v>
      </c>
      <c r="R17" s="13">
        <v>46.323805437872046</v>
      </c>
      <c r="S17" s="8">
        <v>2.7473952303774023E-2</v>
      </c>
    </row>
    <row r="18" spans="1:19">
      <c r="A18" s="2" t="s">
        <v>35</v>
      </c>
      <c r="B18" s="30">
        <v>46059</v>
      </c>
      <c r="C18" s="6">
        <v>381</v>
      </c>
      <c r="D18" s="6">
        <v>387</v>
      </c>
      <c r="E18" s="7">
        <v>-1.5503875968992248E-2</v>
      </c>
      <c r="F18" s="6">
        <v>81</v>
      </c>
      <c r="G18" s="8">
        <v>0.2125984251968504</v>
      </c>
      <c r="H18" s="9">
        <v>0.32100000000000001</v>
      </c>
      <c r="I18" s="8">
        <v>0.73899999999999999</v>
      </c>
      <c r="J18" s="6">
        <v>181.4</v>
      </c>
      <c r="K18" s="8">
        <v>0.26</v>
      </c>
      <c r="L18" s="10">
        <v>-16.949999999999989</v>
      </c>
      <c r="M18" s="8">
        <v>0.126</v>
      </c>
      <c r="N18" s="8">
        <v>9.2999999999999999E-2</v>
      </c>
      <c r="O18" s="11">
        <v>5.4097112860892382</v>
      </c>
      <c r="P18" s="12">
        <v>15.02865329512894</v>
      </c>
      <c r="Q18" s="12">
        <v>2.1733983698220189</v>
      </c>
      <c r="R18" s="13">
        <v>41.433296582138915</v>
      </c>
      <c r="S18" s="8">
        <v>4.0470917822838848E-2</v>
      </c>
    </row>
    <row r="19" spans="1:19">
      <c r="A19" s="2" t="s">
        <v>36</v>
      </c>
      <c r="B19" s="30">
        <v>46059</v>
      </c>
      <c r="C19" s="6">
        <v>335</v>
      </c>
      <c r="D19" s="6">
        <v>404</v>
      </c>
      <c r="E19" s="7">
        <v>-0.1707920792079208</v>
      </c>
      <c r="F19" s="6">
        <v>99</v>
      </c>
      <c r="G19" s="8">
        <v>0.29552238805970149</v>
      </c>
      <c r="H19" s="9">
        <v>0.31900000000000001</v>
      </c>
      <c r="I19" s="8">
        <v>0.72499999999999998</v>
      </c>
      <c r="J19" s="6">
        <v>167.91</v>
      </c>
      <c r="K19" s="8">
        <v>0.26400000000000001</v>
      </c>
      <c r="L19" s="10">
        <v>-0.81999999999999318</v>
      </c>
      <c r="M19" s="8">
        <v>8.4000000000000005E-2</v>
      </c>
      <c r="N19" s="8">
        <v>0.04</v>
      </c>
      <c r="O19" s="11">
        <v>3.919701492537313</v>
      </c>
      <c r="P19" s="12">
        <v>15.551111111111112</v>
      </c>
      <c r="Q19" s="12">
        <v>2.0011818167143058</v>
      </c>
      <c r="R19" s="13">
        <v>39.949973199928536</v>
      </c>
      <c r="S19" s="8">
        <v>4.7306201550387596E-2</v>
      </c>
    </row>
    <row r="20" spans="1:19">
      <c r="A20" s="2" t="s">
        <v>37</v>
      </c>
      <c r="B20" s="30">
        <v>46059</v>
      </c>
      <c r="C20" s="6">
        <v>289</v>
      </c>
      <c r="D20" s="6">
        <v>373</v>
      </c>
      <c r="E20" s="7">
        <v>-0.22520107238605899</v>
      </c>
      <c r="F20" s="6">
        <v>43</v>
      </c>
      <c r="G20" s="8">
        <v>0.14878892733564014</v>
      </c>
      <c r="H20" s="9">
        <v>0.31900000000000001</v>
      </c>
      <c r="I20" s="8">
        <v>0.77400000000000002</v>
      </c>
      <c r="J20" s="6">
        <v>154.56</v>
      </c>
      <c r="K20" s="8">
        <v>0.26500000000000001</v>
      </c>
      <c r="L20" s="10">
        <v>-35.430000000000007</v>
      </c>
      <c r="M20" s="8">
        <v>6.2E-2</v>
      </c>
      <c r="N20" s="8">
        <v>8.8999999999999996E-2</v>
      </c>
      <c r="O20" s="11">
        <v>2.9394463667820068</v>
      </c>
      <c r="P20" s="12">
        <v>14.581294964028777</v>
      </c>
      <c r="Q20" s="12">
        <v>1.9303386674221388</v>
      </c>
      <c r="R20" s="13">
        <v>39.065734989648035</v>
      </c>
      <c r="S20" s="8">
        <v>2.3388539251407752E-2</v>
      </c>
    </row>
    <row r="21" spans="1:19">
      <c r="A21" s="2" t="s">
        <v>38</v>
      </c>
      <c r="B21" s="30">
        <v>46059</v>
      </c>
      <c r="C21" s="6">
        <v>425</v>
      </c>
      <c r="D21" s="6">
        <v>440</v>
      </c>
      <c r="E21" s="7">
        <v>-3.4090909090909088E-2</v>
      </c>
      <c r="F21" s="6">
        <v>63</v>
      </c>
      <c r="G21" s="8">
        <v>0.14823529411764705</v>
      </c>
      <c r="H21" s="9">
        <v>0.318</v>
      </c>
      <c r="I21" s="8">
        <v>0.77800000000000002</v>
      </c>
      <c r="J21" s="6">
        <v>165.31</v>
      </c>
      <c r="K21" s="8">
        <v>0.25</v>
      </c>
      <c r="L21" s="10">
        <v>3.75</v>
      </c>
      <c r="M21" s="8">
        <v>6.4000000000000001E-2</v>
      </c>
      <c r="N21" s="8">
        <v>4.2999999999999997E-2</v>
      </c>
      <c r="O21" s="11">
        <v>3.3235294117647061</v>
      </c>
      <c r="P21" s="12">
        <v>14.77832512315271</v>
      </c>
      <c r="Q21" s="12">
        <v>2.5949552167992813</v>
      </c>
      <c r="R21" s="13">
        <v>54.685137015304576</v>
      </c>
      <c r="S21" s="8">
        <v>3.089712389380531E-2</v>
      </c>
    </row>
    <row r="22" spans="1:19">
      <c r="A22" s="2" t="s">
        <v>39</v>
      </c>
      <c r="B22" s="30">
        <v>46059</v>
      </c>
      <c r="C22" s="6">
        <v>526</v>
      </c>
      <c r="D22" s="6">
        <v>681</v>
      </c>
      <c r="E22" s="7">
        <v>-0.22760646108663729</v>
      </c>
      <c r="F22" s="6">
        <v>92</v>
      </c>
      <c r="G22" s="8">
        <v>0.17490494296577946</v>
      </c>
      <c r="H22" s="9">
        <v>0.309</v>
      </c>
      <c r="I22" s="8">
        <v>0.79200000000000004</v>
      </c>
      <c r="J22" s="6">
        <v>233.48</v>
      </c>
      <c r="K22" s="8">
        <v>0.28599999999999998</v>
      </c>
      <c r="L22" s="10">
        <v>13.679999999999978</v>
      </c>
      <c r="M22" s="8">
        <v>0.114</v>
      </c>
      <c r="N22" s="8">
        <v>4.8000000000000001E-2</v>
      </c>
      <c r="O22" s="11">
        <v>5.4760456273764264</v>
      </c>
      <c r="P22" s="12">
        <v>13.888176352705411</v>
      </c>
      <c r="Q22" s="12">
        <v>2.3021796041751244</v>
      </c>
      <c r="R22" s="13">
        <v>45.999657358231971</v>
      </c>
      <c r="S22" s="8">
        <v>3.6847299813780258E-2</v>
      </c>
    </row>
    <row r="23" spans="1:19">
      <c r="A23" s="2" t="s">
        <v>40</v>
      </c>
      <c r="B23" s="30">
        <v>46059</v>
      </c>
      <c r="C23" s="6">
        <v>212</v>
      </c>
      <c r="D23" s="6">
        <v>252</v>
      </c>
      <c r="E23" s="7">
        <v>-0.15873015873015872</v>
      </c>
      <c r="F23" s="6">
        <v>47</v>
      </c>
      <c r="G23" s="8">
        <v>0.22169811320754718</v>
      </c>
      <c r="H23" s="9">
        <v>0.308</v>
      </c>
      <c r="I23" s="8">
        <v>0.73799999999999999</v>
      </c>
      <c r="J23" s="6">
        <v>131.6</v>
      </c>
      <c r="K23" s="8">
        <v>0.23599999999999999</v>
      </c>
      <c r="L23" s="10">
        <v>-25.47</v>
      </c>
      <c r="M23" s="8">
        <v>8.5000000000000006E-2</v>
      </c>
      <c r="N23" s="8">
        <v>0.129</v>
      </c>
      <c r="O23" s="11">
        <v>4.3231132075471699</v>
      </c>
      <c r="P23" s="12">
        <v>16.510344827586206</v>
      </c>
      <c r="Q23" s="12">
        <v>1.6218168343948358</v>
      </c>
      <c r="R23" s="13">
        <v>32.940729483282674</v>
      </c>
      <c r="S23" s="8">
        <v>7.951095732410611E-2</v>
      </c>
    </row>
    <row r="24" spans="1:19">
      <c r="A24" s="2" t="s">
        <v>41</v>
      </c>
      <c r="B24" s="30">
        <v>46059</v>
      </c>
      <c r="C24" s="6">
        <v>272</v>
      </c>
      <c r="D24" s="6">
        <v>314</v>
      </c>
      <c r="E24" s="7">
        <v>-0.13375796178343949</v>
      </c>
      <c r="F24" s="6">
        <v>69</v>
      </c>
      <c r="G24" s="8">
        <v>0.25367647058823528</v>
      </c>
      <c r="H24" s="9">
        <v>0.30599999999999999</v>
      </c>
      <c r="I24" s="8">
        <v>0.71399999999999997</v>
      </c>
      <c r="J24" s="6">
        <v>158.66</v>
      </c>
      <c r="K24" s="8">
        <v>0.27300000000000002</v>
      </c>
      <c r="L24" s="10">
        <v>11.52000000000001</v>
      </c>
      <c r="M24" s="8">
        <v>0.23899999999999999</v>
      </c>
      <c r="N24" s="8">
        <v>0.14299999999999999</v>
      </c>
      <c r="O24" s="11">
        <v>8.9422794117647069</v>
      </c>
      <c r="P24" s="12">
        <v>18.352674897119339</v>
      </c>
      <c r="Q24" s="12">
        <v>1.7442211167712411</v>
      </c>
      <c r="R24" s="13">
        <v>35.030883650573557</v>
      </c>
      <c r="S24" s="8">
        <v>2.5926592299388269E-2</v>
      </c>
    </row>
    <row r="25" spans="1:19">
      <c r="A25" s="2" t="s">
        <v>42</v>
      </c>
      <c r="B25" s="30">
        <v>46059</v>
      </c>
      <c r="C25" s="6">
        <v>488</v>
      </c>
      <c r="D25" s="6">
        <v>680</v>
      </c>
      <c r="E25" s="7">
        <v>-0.28235294117647058</v>
      </c>
      <c r="F25" s="6">
        <v>75</v>
      </c>
      <c r="G25" s="8">
        <v>0.15368852459016394</v>
      </c>
      <c r="H25" s="9">
        <v>0.30299999999999999</v>
      </c>
      <c r="I25" s="8">
        <v>0.81</v>
      </c>
      <c r="J25" s="6">
        <v>197.68</v>
      </c>
      <c r="K25" s="8">
        <v>0.17199999999999999</v>
      </c>
      <c r="L25" s="10">
        <v>-46.079999999999984</v>
      </c>
      <c r="M25" s="8">
        <v>9.4E-2</v>
      </c>
      <c r="N25" s="8">
        <v>0.159</v>
      </c>
      <c r="O25" s="11">
        <v>4.4762295081967212</v>
      </c>
      <c r="P25" s="12">
        <v>14.130818965517241</v>
      </c>
      <c r="Q25" s="12">
        <v>2.4820876948510242</v>
      </c>
      <c r="R25" s="13">
        <v>50.996560097126668</v>
      </c>
      <c r="S25" s="8">
        <v>5.934194831013917E-2</v>
      </c>
    </row>
    <row r="26" spans="1:19">
      <c r="A26" s="2" t="s">
        <v>43</v>
      </c>
      <c r="B26" s="30">
        <v>46059</v>
      </c>
      <c r="C26" s="6">
        <v>342</v>
      </c>
      <c r="D26" s="6">
        <v>451</v>
      </c>
      <c r="E26" s="7">
        <v>-0.24168514412416853</v>
      </c>
      <c r="F26" s="6">
        <v>44</v>
      </c>
      <c r="G26" s="8">
        <v>0.12865497076023391</v>
      </c>
      <c r="H26" s="9">
        <v>0.30199999999999999</v>
      </c>
      <c r="I26" s="8">
        <v>0.75900000000000001</v>
      </c>
      <c r="J26" s="6">
        <v>150.59</v>
      </c>
      <c r="K26" s="8">
        <v>0.29499999999999998</v>
      </c>
      <c r="L26" s="10">
        <v>-25.490000000000009</v>
      </c>
      <c r="M26" s="8">
        <v>0.13700000000000001</v>
      </c>
      <c r="N26" s="8">
        <v>0.188</v>
      </c>
      <c r="O26" s="11">
        <v>6.2017543859649127</v>
      </c>
      <c r="P26" s="12">
        <v>15.589814814814815</v>
      </c>
      <c r="Q26" s="12">
        <v>2.3129895354465835</v>
      </c>
      <c r="R26" s="13">
        <v>44.631117604090576</v>
      </c>
      <c r="S26" s="8">
        <v>3.8281505728314243E-2</v>
      </c>
    </row>
    <row r="27" spans="1:19">
      <c r="A27" s="2" t="s">
        <v>44</v>
      </c>
      <c r="B27" s="30">
        <v>46059</v>
      </c>
      <c r="C27" s="6">
        <v>421</v>
      </c>
      <c r="D27" s="6">
        <v>551</v>
      </c>
      <c r="E27" s="7">
        <v>-0.23593466424682397</v>
      </c>
      <c r="F27" s="6">
        <v>82</v>
      </c>
      <c r="G27" s="8">
        <v>0.19477434679334918</v>
      </c>
      <c r="H27" s="9">
        <v>0.29899999999999999</v>
      </c>
      <c r="I27" s="8">
        <v>0.71899999999999997</v>
      </c>
      <c r="J27" s="6">
        <v>198.55</v>
      </c>
      <c r="K27" s="8">
        <v>0.3</v>
      </c>
      <c r="L27" s="10">
        <v>21.850000000000023</v>
      </c>
      <c r="M27" s="8">
        <v>6.4000000000000001E-2</v>
      </c>
      <c r="N27" s="8">
        <v>2.5000000000000001E-2</v>
      </c>
      <c r="O27" s="11">
        <v>3.6660332541567699</v>
      </c>
      <c r="P27" s="12">
        <v>13.275505050505052</v>
      </c>
      <c r="Q27" s="12">
        <v>2.1353564241543892</v>
      </c>
      <c r="R27" s="13">
        <v>43.575925459581967</v>
      </c>
      <c r="S27" s="8">
        <v>2.7719847062912757E-2</v>
      </c>
    </row>
    <row r="28" spans="1:19">
      <c r="A28" s="2" t="s">
        <v>45</v>
      </c>
      <c r="B28" s="30">
        <v>46059</v>
      </c>
      <c r="C28" s="6">
        <v>312</v>
      </c>
      <c r="D28" s="6">
        <v>364</v>
      </c>
      <c r="E28" s="7">
        <v>-0.14285714285714285</v>
      </c>
      <c r="F28" s="6">
        <v>73</v>
      </c>
      <c r="G28" s="8">
        <v>0.23397435897435898</v>
      </c>
      <c r="H28" s="9">
        <v>0.29699999999999999</v>
      </c>
      <c r="I28" s="8">
        <v>0.81899999999999995</v>
      </c>
      <c r="J28" s="6">
        <v>142.43</v>
      </c>
      <c r="K28" s="8">
        <v>0.23100000000000001</v>
      </c>
      <c r="L28" s="10">
        <v>-19.53</v>
      </c>
      <c r="M28" s="8">
        <v>0.115</v>
      </c>
      <c r="N28" s="8">
        <v>7.9000000000000001E-2</v>
      </c>
      <c r="O28" s="11">
        <v>5.3996794871794878</v>
      </c>
      <c r="P28" s="12">
        <v>14.886315789473686</v>
      </c>
      <c r="Q28" s="12">
        <v>2.2510228218476396</v>
      </c>
      <c r="R28" s="13">
        <v>46.212174401460366</v>
      </c>
      <c r="S28" s="8">
        <v>4.7175630507444541E-2</v>
      </c>
    </row>
    <row r="29" spans="1:19">
      <c r="A29" s="2" t="s">
        <v>46</v>
      </c>
      <c r="B29" s="30">
        <v>46059</v>
      </c>
      <c r="C29" s="6">
        <v>278</v>
      </c>
      <c r="D29" s="6">
        <v>338</v>
      </c>
      <c r="E29" s="7">
        <v>-0.17751479289940827</v>
      </c>
      <c r="F29" s="6">
        <v>69</v>
      </c>
      <c r="G29" s="8">
        <v>0.24820143884892087</v>
      </c>
      <c r="H29" s="9">
        <v>0.29499999999999998</v>
      </c>
      <c r="I29" s="8">
        <v>0.68100000000000005</v>
      </c>
      <c r="J29" s="6">
        <v>155.62</v>
      </c>
      <c r="K29" s="8">
        <v>0.253</v>
      </c>
      <c r="L29" s="10">
        <v>-8.3299999999999841</v>
      </c>
      <c r="M29" s="8">
        <v>5.8000000000000003E-2</v>
      </c>
      <c r="N29" s="8">
        <v>9.8000000000000004E-2</v>
      </c>
      <c r="O29" s="11">
        <v>3.4820143884892087</v>
      </c>
      <c r="P29" s="12">
        <v>13.5952</v>
      </c>
      <c r="Q29" s="12">
        <v>1.856244515342907</v>
      </c>
      <c r="R29" s="13">
        <v>31.891787687957844</v>
      </c>
      <c r="S29" s="8">
        <v>1.8809187991134395E-2</v>
      </c>
    </row>
    <row r="30" spans="1:19">
      <c r="A30" s="2" t="s">
        <v>47</v>
      </c>
      <c r="B30" s="30">
        <v>46059</v>
      </c>
      <c r="C30" s="6">
        <v>210</v>
      </c>
      <c r="D30" s="6">
        <v>278</v>
      </c>
      <c r="E30" s="7">
        <v>-0.2446043165467626</v>
      </c>
      <c r="F30" s="6">
        <v>38</v>
      </c>
      <c r="G30" s="8">
        <v>0.18095238095238095</v>
      </c>
      <c r="H30" s="9">
        <v>0.29399999999999998</v>
      </c>
      <c r="I30" s="8">
        <v>0.73399999999999999</v>
      </c>
      <c r="J30" s="6">
        <v>152.36000000000001</v>
      </c>
      <c r="K30" s="8">
        <v>0.28299999999999997</v>
      </c>
      <c r="L30" s="10">
        <v>14.530000000000001</v>
      </c>
      <c r="M30" s="8">
        <v>5.1999999999999998E-2</v>
      </c>
      <c r="N30" s="8">
        <v>0.108</v>
      </c>
      <c r="O30" s="11">
        <v>2.3985714285714286</v>
      </c>
      <c r="P30" s="12">
        <v>16.695431472081218</v>
      </c>
      <c r="Q30" s="12">
        <v>1.3956259592904647</v>
      </c>
      <c r="R30" s="13">
        <v>28.288264636387499</v>
      </c>
      <c r="S30" s="8">
        <v>2.0895591647331787E-2</v>
      </c>
    </row>
    <row r="31" spans="1:19">
      <c r="A31" s="2" t="s">
        <v>49</v>
      </c>
      <c r="B31" s="30">
        <v>46059</v>
      </c>
      <c r="C31" s="6">
        <v>546</v>
      </c>
      <c r="D31" s="6">
        <v>771</v>
      </c>
      <c r="E31" s="7">
        <v>-0.29182879377431908</v>
      </c>
      <c r="F31" s="6">
        <v>133</v>
      </c>
      <c r="G31" s="8">
        <v>0.24358974358974358</v>
      </c>
      <c r="H31" s="9">
        <v>0.29299999999999998</v>
      </c>
      <c r="I31" s="8">
        <v>0.71899999999999997</v>
      </c>
      <c r="J31" s="6">
        <v>215.54</v>
      </c>
      <c r="K31" s="8">
        <v>0.26400000000000001</v>
      </c>
      <c r="L31" s="10">
        <v>-47.560000000000031</v>
      </c>
      <c r="M31" s="8">
        <v>0.31</v>
      </c>
      <c r="N31" s="8">
        <v>0.13600000000000001</v>
      </c>
      <c r="O31" s="11">
        <v>15.42875457875458</v>
      </c>
      <c r="P31" s="12">
        <v>17.011821705426357</v>
      </c>
      <c r="Q31" s="12">
        <v>2.6065658667346812</v>
      </c>
      <c r="R31" s="13">
        <v>51.368655469982372</v>
      </c>
      <c r="S31" s="8">
        <v>3.3310676092079029E-2</v>
      </c>
    </row>
    <row r="32" spans="1:19">
      <c r="A32" s="2" t="s">
        <v>48</v>
      </c>
      <c r="B32" s="30">
        <v>46059</v>
      </c>
      <c r="C32" s="6">
        <v>627</v>
      </c>
      <c r="D32" s="6">
        <v>885</v>
      </c>
      <c r="E32" s="7">
        <v>-0.29152542372881357</v>
      </c>
      <c r="F32" s="6">
        <v>99</v>
      </c>
      <c r="G32" s="8">
        <v>0.15789473684210525</v>
      </c>
      <c r="H32" s="9">
        <v>0.29299999999999998</v>
      </c>
      <c r="I32" s="8">
        <v>0.78400000000000003</v>
      </c>
      <c r="J32" s="6">
        <v>282.77</v>
      </c>
      <c r="K32" s="8">
        <v>0.22</v>
      </c>
      <c r="L32" s="10">
        <v>-67.420000000000016</v>
      </c>
      <c r="M32" s="8">
        <v>8.7999999999999995E-2</v>
      </c>
      <c r="N32" s="8">
        <v>5.2999999999999999E-2</v>
      </c>
      <c r="O32" s="11">
        <v>4.5720893141945771</v>
      </c>
      <c r="P32" s="12">
        <v>14.461864406779661</v>
      </c>
      <c r="Q32" s="12">
        <v>2.2425932655660987</v>
      </c>
      <c r="R32" s="13">
        <v>42.317077483467131</v>
      </c>
      <c r="S32" s="8">
        <v>2.205340699815838E-2</v>
      </c>
    </row>
    <row r="33" spans="1:19">
      <c r="A33" s="2" t="s">
        <v>50</v>
      </c>
      <c r="B33" s="30">
        <v>46059</v>
      </c>
      <c r="C33" s="6">
        <v>578</v>
      </c>
      <c r="D33" s="6">
        <v>709</v>
      </c>
      <c r="E33" s="7">
        <v>-0.18476727785613539</v>
      </c>
      <c r="F33" s="6">
        <v>116</v>
      </c>
      <c r="G33" s="8">
        <v>0.20069204152249134</v>
      </c>
      <c r="H33" s="9">
        <v>0.29199999999999998</v>
      </c>
      <c r="I33" s="8">
        <v>0.78</v>
      </c>
      <c r="J33" s="6">
        <v>231.79</v>
      </c>
      <c r="K33" s="8">
        <v>0.26600000000000001</v>
      </c>
      <c r="L33" s="10">
        <v>-18.79000000000002</v>
      </c>
      <c r="M33" s="8">
        <v>0.13500000000000001</v>
      </c>
      <c r="N33" s="8">
        <v>0.23</v>
      </c>
      <c r="O33" s="11">
        <v>5.8544982698961938</v>
      </c>
      <c r="P33" s="12">
        <v>12.962137681159421</v>
      </c>
      <c r="Q33" s="12">
        <v>2.5266704335792358</v>
      </c>
      <c r="R33" s="13">
        <v>52.922904353078216</v>
      </c>
      <c r="S33" s="8">
        <v>4.848340843916428E-2</v>
      </c>
    </row>
    <row r="34" spans="1:19">
      <c r="A34" s="2" t="s">
        <v>51</v>
      </c>
      <c r="B34" s="30">
        <v>46059</v>
      </c>
      <c r="C34" s="6">
        <v>199</v>
      </c>
      <c r="D34" s="6">
        <v>320</v>
      </c>
      <c r="E34" s="7">
        <v>-0.37812499999999999</v>
      </c>
      <c r="F34" s="6">
        <v>44</v>
      </c>
      <c r="G34" s="8">
        <v>0.22110552763819097</v>
      </c>
      <c r="H34" s="9">
        <v>0.28299999999999997</v>
      </c>
      <c r="I34" s="8">
        <v>0.70699999999999996</v>
      </c>
      <c r="J34" s="6">
        <v>149.38</v>
      </c>
      <c r="K34" s="8">
        <v>0.25</v>
      </c>
      <c r="L34" s="10">
        <v>-17.450000000000017</v>
      </c>
      <c r="M34" s="8">
        <v>0.08</v>
      </c>
      <c r="N34" s="8">
        <v>0.109</v>
      </c>
      <c r="O34" s="11">
        <v>4.0618090452261306</v>
      </c>
      <c r="P34" s="12">
        <v>14.781052631578948</v>
      </c>
      <c r="Q34" s="12">
        <v>1.3587124581943777</v>
      </c>
      <c r="R34" s="13">
        <v>27.312893292274737</v>
      </c>
      <c r="S34" s="8">
        <v>4.3393252893376012E-2</v>
      </c>
    </row>
    <row r="35" spans="1:19">
      <c r="A35" s="2" t="s">
        <v>52</v>
      </c>
      <c r="B35" s="30">
        <v>46059</v>
      </c>
      <c r="C35" s="6">
        <v>407</v>
      </c>
      <c r="D35" s="6">
        <v>450</v>
      </c>
      <c r="E35" s="7">
        <v>-9.555555555555556E-2</v>
      </c>
      <c r="F35" s="6">
        <v>107</v>
      </c>
      <c r="G35" s="8">
        <v>0.26289926289926291</v>
      </c>
      <c r="H35" s="9">
        <v>0.28199999999999997</v>
      </c>
      <c r="I35" s="8">
        <v>0.77300000000000002</v>
      </c>
      <c r="J35" s="6">
        <v>164.49</v>
      </c>
      <c r="K35" s="8">
        <v>0.246</v>
      </c>
      <c r="L35" s="10">
        <v>1.0900000000000034</v>
      </c>
      <c r="M35" s="8">
        <v>9.8000000000000004E-2</v>
      </c>
      <c r="N35" s="8">
        <v>0.129</v>
      </c>
      <c r="O35" s="11">
        <v>4.7088452088452089</v>
      </c>
      <c r="P35" s="12">
        <v>12.326273458445039</v>
      </c>
      <c r="Q35" s="12">
        <v>2.4966872660157962</v>
      </c>
      <c r="R35" s="13">
        <v>52.282813544896342</v>
      </c>
      <c r="S35" s="8">
        <v>3.659208059981256E-2</v>
      </c>
    </row>
    <row r="36" spans="1:19">
      <c r="A36" s="2" t="s">
        <v>53</v>
      </c>
      <c r="B36" s="30">
        <v>46059</v>
      </c>
      <c r="C36" s="6">
        <v>466</v>
      </c>
      <c r="D36" s="6">
        <v>569</v>
      </c>
      <c r="E36" s="7">
        <v>-0.18101933216168717</v>
      </c>
      <c r="F36" s="6">
        <v>82</v>
      </c>
      <c r="G36" s="8">
        <v>0.17596566523605151</v>
      </c>
      <c r="H36" s="9">
        <v>0.28100000000000003</v>
      </c>
      <c r="I36" s="8">
        <v>0.75900000000000001</v>
      </c>
      <c r="J36" s="6">
        <v>239.57</v>
      </c>
      <c r="K36" s="8">
        <v>0.26300000000000001</v>
      </c>
      <c r="L36" s="10">
        <v>0.87999999999999545</v>
      </c>
      <c r="M36" s="8">
        <v>3.4000000000000002E-2</v>
      </c>
      <c r="N36" s="8">
        <v>2.1999999999999999E-2</v>
      </c>
      <c r="O36" s="11">
        <v>2.6006437768240347</v>
      </c>
      <c r="P36" s="12">
        <v>15.37716894977169</v>
      </c>
      <c r="Q36" s="12">
        <v>1.9917526364088891</v>
      </c>
      <c r="R36" s="13">
        <v>40.034227991818675</v>
      </c>
      <c r="S36" s="8">
        <v>2.5489521426337192E-2</v>
      </c>
    </row>
    <row r="37" spans="1:19">
      <c r="A37" s="2" t="s">
        <v>54</v>
      </c>
      <c r="B37" s="30">
        <v>46059</v>
      </c>
      <c r="C37" s="6">
        <v>391</v>
      </c>
      <c r="D37" s="6">
        <v>462</v>
      </c>
      <c r="E37" s="7">
        <v>-0.15367965367965367</v>
      </c>
      <c r="F37" s="6">
        <v>75</v>
      </c>
      <c r="G37" s="8">
        <v>0.1918158567774936</v>
      </c>
      <c r="H37" s="9">
        <v>0.28000000000000003</v>
      </c>
      <c r="I37" s="8">
        <v>0.79500000000000004</v>
      </c>
      <c r="J37" s="6">
        <v>193.66</v>
      </c>
      <c r="K37" s="8">
        <v>0.27</v>
      </c>
      <c r="L37" s="10">
        <v>12.889999999999986</v>
      </c>
      <c r="M37" s="8">
        <v>0.13300000000000001</v>
      </c>
      <c r="N37" s="8">
        <v>0.17799999999999999</v>
      </c>
      <c r="O37" s="11">
        <v>6.0061381074168798</v>
      </c>
      <c r="P37" s="12">
        <v>14.858725761772853</v>
      </c>
      <c r="Q37" s="12">
        <v>2.0950021729080306</v>
      </c>
      <c r="R37" s="13">
        <v>34.41082309201694</v>
      </c>
      <c r="S37" s="8">
        <v>1.0756302521008404E-2</v>
      </c>
    </row>
    <row r="38" spans="1:19">
      <c r="A38" s="2" t="s">
        <v>55</v>
      </c>
      <c r="B38" s="30">
        <v>46059</v>
      </c>
      <c r="C38" s="6">
        <v>780</v>
      </c>
      <c r="D38" s="6">
        <v>932</v>
      </c>
      <c r="E38" s="7">
        <v>-0.1630901287553648</v>
      </c>
      <c r="F38" s="6">
        <v>195</v>
      </c>
      <c r="G38" s="8">
        <v>0.25</v>
      </c>
      <c r="H38" s="9">
        <v>0.27700000000000002</v>
      </c>
      <c r="I38" s="8">
        <v>0.71699999999999997</v>
      </c>
      <c r="J38" s="6">
        <v>392.78</v>
      </c>
      <c r="K38" s="8">
        <v>0.25800000000000001</v>
      </c>
      <c r="L38" s="10">
        <v>-0.96000000000003638</v>
      </c>
      <c r="M38" s="8">
        <v>0.35399999999999998</v>
      </c>
      <c r="N38" s="8">
        <v>0.26700000000000002</v>
      </c>
      <c r="O38" s="11">
        <v>14.26923076923077</v>
      </c>
      <c r="P38" s="12">
        <v>18.710863509749302</v>
      </c>
      <c r="Q38" s="12">
        <v>2.0671595152125555</v>
      </c>
      <c r="R38" s="13">
        <v>34.194714598502983</v>
      </c>
      <c r="S38" s="8">
        <v>5.6741865832774917E-3</v>
      </c>
    </row>
    <row r="39" spans="1:19">
      <c r="A39" s="2" t="s">
        <v>56</v>
      </c>
      <c r="B39" s="30">
        <v>46059</v>
      </c>
      <c r="C39" s="6">
        <v>542</v>
      </c>
      <c r="D39" s="6">
        <v>617</v>
      </c>
      <c r="E39" s="7">
        <v>-0.12155591572123177</v>
      </c>
      <c r="F39" s="6">
        <v>94</v>
      </c>
      <c r="G39" s="8">
        <v>0.17343173431734318</v>
      </c>
      <c r="H39" s="9">
        <v>0.27400000000000002</v>
      </c>
      <c r="I39" s="8">
        <v>0.77100000000000002</v>
      </c>
      <c r="J39" s="6">
        <v>205.67</v>
      </c>
      <c r="K39" s="8">
        <v>0.255</v>
      </c>
      <c r="L39" s="10">
        <v>7.9499999999999886</v>
      </c>
      <c r="M39" s="8">
        <v>0.14199999999999999</v>
      </c>
      <c r="N39" s="8">
        <v>8.3000000000000004E-2</v>
      </c>
      <c r="O39" s="11">
        <v>6.4369003690036903</v>
      </c>
      <c r="P39" s="12">
        <v>12.261857707509881</v>
      </c>
      <c r="Q39" s="12">
        <v>2.701547066459661</v>
      </c>
      <c r="R39" s="13">
        <v>42.782126707832937</v>
      </c>
      <c r="S39" s="8">
        <v>1.1341491308325709E-2</v>
      </c>
    </row>
    <row r="40" spans="1:19">
      <c r="A40" s="2" t="s">
        <v>57</v>
      </c>
      <c r="B40" s="30">
        <v>46059</v>
      </c>
      <c r="C40" s="6">
        <v>270</v>
      </c>
      <c r="D40" s="6">
        <v>357</v>
      </c>
      <c r="E40" s="7">
        <v>-0.24369747899159663</v>
      </c>
      <c r="F40" s="6">
        <v>56</v>
      </c>
      <c r="G40" s="8">
        <v>0.2074074074074074</v>
      </c>
      <c r="H40" s="9">
        <v>0.26700000000000002</v>
      </c>
      <c r="I40" s="8">
        <v>0.69799999999999995</v>
      </c>
      <c r="J40" s="6">
        <v>148.61000000000001</v>
      </c>
      <c r="K40" s="8">
        <v>0.29599999999999999</v>
      </c>
      <c r="L40" s="10">
        <v>-61.47999999999999</v>
      </c>
      <c r="M40" s="8">
        <v>0.219</v>
      </c>
      <c r="N40" s="8">
        <v>0.253</v>
      </c>
      <c r="O40" s="11">
        <v>9.1874074074074077</v>
      </c>
      <c r="P40" s="12">
        <v>17.713671874999999</v>
      </c>
      <c r="Q40" s="12">
        <v>1.8256324343024319</v>
      </c>
      <c r="R40" s="13">
        <v>34.977457775385233</v>
      </c>
      <c r="S40" s="8">
        <v>6.1090733590733588E-2</v>
      </c>
    </row>
    <row r="41" spans="1:19">
      <c r="A41" s="2" t="s">
        <v>58</v>
      </c>
      <c r="B41" s="30">
        <v>46059</v>
      </c>
      <c r="C41" s="6">
        <v>213</v>
      </c>
      <c r="D41" s="6">
        <v>276</v>
      </c>
      <c r="E41" s="7">
        <v>-0.22826086956521738</v>
      </c>
      <c r="F41" s="6">
        <v>54</v>
      </c>
      <c r="G41" s="8">
        <v>0.25352112676056338</v>
      </c>
      <c r="H41" s="9">
        <v>0.26300000000000001</v>
      </c>
      <c r="I41" s="8">
        <v>0.61899999999999999</v>
      </c>
      <c r="J41" s="6">
        <v>142.03</v>
      </c>
      <c r="K41" s="8">
        <v>0.252</v>
      </c>
      <c r="L41" s="10">
        <v>-18.889999999999986</v>
      </c>
      <c r="M41" s="8">
        <v>0.10299999999999999</v>
      </c>
      <c r="N41" s="8">
        <v>0.14099999999999999</v>
      </c>
      <c r="O41" s="11">
        <v>4.755868544600939</v>
      </c>
      <c r="P41" s="12">
        <v>16.250819672131147</v>
      </c>
      <c r="Q41" s="12">
        <v>1.5743045923605317</v>
      </c>
      <c r="R41" s="13">
        <v>32.20446384566641</v>
      </c>
      <c r="S41" s="8">
        <v>4.1595977262789678E-2</v>
      </c>
    </row>
    <row r="42" spans="1:19">
      <c r="A42" s="2" t="s">
        <v>59</v>
      </c>
      <c r="B42" s="30">
        <v>46059</v>
      </c>
      <c r="C42" s="6">
        <v>422</v>
      </c>
      <c r="D42" s="6">
        <v>612</v>
      </c>
      <c r="E42" s="7">
        <v>-0.31045751633986929</v>
      </c>
      <c r="F42" s="6">
        <v>93</v>
      </c>
      <c r="G42" s="8">
        <v>0.22037914691943128</v>
      </c>
      <c r="H42" s="9">
        <v>0.26300000000000001</v>
      </c>
      <c r="I42" s="8">
        <v>0.69</v>
      </c>
      <c r="J42" s="6">
        <v>198.86</v>
      </c>
      <c r="K42" s="8">
        <v>0.34399999999999997</v>
      </c>
      <c r="L42" s="10">
        <v>-76.839999999999975</v>
      </c>
      <c r="M42" s="8">
        <v>6.2E-2</v>
      </c>
      <c r="N42" s="8">
        <v>7.0000000000000007E-2</v>
      </c>
      <c r="O42" s="11">
        <v>2.9632701421800949</v>
      </c>
      <c r="P42" s="12">
        <v>15.539303482587066</v>
      </c>
      <c r="Q42" s="12">
        <v>2.1414956245862076</v>
      </c>
      <c r="R42" s="13">
        <v>43.447651614200943</v>
      </c>
      <c r="S42" s="8">
        <v>7.4429398148148154E-2</v>
      </c>
    </row>
    <row r="43" spans="1:19">
      <c r="A43" s="2" t="s">
        <v>60</v>
      </c>
      <c r="B43" s="30">
        <v>46059</v>
      </c>
      <c r="C43" s="6">
        <v>281</v>
      </c>
      <c r="D43" s="6">
        <v>310</v>
      </c>
      <c r="E43" s="7">
        <v>-9.3548387096774197E-2</v>
      </c>
      <c r="F43" s="6">
        <v>59</v>
      </c>
      <c r="G43" s="8">
        <v>0.20996441281138789</v>
      </c>
      <c r="H43" s="9">
        <v>0.26</v>
      </c>
      <c r="I43" s="8">
        <v>0.76</v>
      </c>
      <c r="J43" s="6">
        <v>160.66</v>
      </c>
      <c r="K43" s="8">
        <v>0.29599999999999999</v>
      </c>
      <c r="L43" s="10">
        <v>3.1299999999999955</v>
      </c>
      <c r="M43" s="8">
        <v>0.153</v>
      </c>
      <c r="N43" s="8">
        <v>0.157</v>
      </c>
      <c r="O43" s="11">
        <v>6.4252669039145909</v>
      </c>
      <c r="P43" s="12">
        <v>15.897222222222222</v>
      </c>
      <c r="Q43" s="12">
        <v>1.8841054619015831</v>
      </c>
      <c r="R43" s="13">
        <v>28.687912361508776</v>
      </c>
      <c r="S43" s="8">
        <v>1.704026115342764E-2</v>
      </c>
    </row>
    <row r="44" spans="1:19">
      <c r="A44" s="2" t="s">
        <v>61</v>
      </c>
      <c r="B44" s="30">
        <v>46059</v>
      </c>
      <c r="C44" s="6">
        <v>432</v>
      </c>
      <c r="D44" s="6">
        <v>441</v>
      </c>
      <c r="E44" s="7">
        <v>-2.0408163265306121E-2</v>
      </c>
      <c r="F44" s="6">
        <v>87</v>
      </c>
      <c r="G44" s="8">
        <v>0.2013888888888889</v>
      </c>
      <c r="H44" s="9">
        <v>0.25700000000000001</v>
      </c>
      <c r="I44" s="8">
        <v>0.65</v>
      </c>
      <c r="J44" s="6">
        <v>216.82</v>
      </c>
      <c r="K44" s="8">
        <v>0.23599999999999999</v>
      </c>
      <c r="L44" s="10">
        <v>28.129999999999995</v>
      </c>
      <c r="M44" s="8">
        <v>0.16900000000000001</v>
      </c>
      <c r="N44" s="8">
        <v>0.223</v>
      </c>
      <c r="O44" s="11">
        <v>6.9495370370370368</v>
      </c>
      <c r="P44" s="12">
        <v>16.921621621621622</v>
      </c>
      <c r="Q44" s="12">
        <v>2.0188774812961743</v>
      </c>
      <c r="R44" s="13">
        <v>36.039110783138085</v>
      </c>
      <c r="S44" s="8">
        <v>1.473509086255439E-2</v>
      </c>
    </row>
    <row r="45" spans="1:19">
      <c r="A45" s="2" t="s">
        <v>62</v>
      </c>
      <c r="B45" s="30">
        <v>46059</v>
      </c>
      <c r="C45" s="6">
        <v>197</v>
      </c>
      <c r="D45" s="6">
        <v>325</v>
      </c>
      <c r="E45" s="7">
        <v>-0.39384615384615385</v>
      </c>
      <c r="F45" s="6">
        <v>40</v>
      </c>
      <c r="G45" s="8">
        <v>0.20304568527918782</v>
      </c>
      <c r="H45" s="9">
        <v>0.255</v>
      </c>
      <c r="I45" s="8">
        <v>0.77300000000000002</v>
      </c>
      <c r="J45" s="6">
        <v>126.42</v>
      </c>
      <c r="K45" s="8">
        <v>0.33500000000000002</v>
      </c>
      <c r="L45" s="10">
        <v>-31.219999999999985</v>
      </c>
      <c r="M45" s="8">
        <v>9.6000000000000002E-2</v>
      </c>
      <c r="N45" s="8">
        <v>9.8000000000000004E-2</v>
      </c>
      <c r="O45" s="11">
        <v>4.2446700507614219</v>
      </c>
      <c r="P45" s="12">
        <v>15.932065217391305</v>
      </c>
      <c r="Q45" s="12">
        <v>1.5773392340174224</v>
      </c>
      <c r="R45" s="13">
        <v>26.831197595317196</v>
      </c>
      <c r="S45" s="8">
        <v>1.7187499999999998E-2</v>
      </c>
    </row>
    <row r="46" spans="1:19">
      <c r="A46" s="2" t="s">
        <v>64</v>
      </c>
      <c r="B46" s="30">
        <v>46059</v>
      </c>
      <c r="C46" s="6">
        <v>567</v>
      </c>
      <c r="D46" s="6">
        <v>606</v>
      </c>
      <c r="E46" s="7">
        <v>-6.4356435643564358E-2</v>
      </c>
      <c r="F46" s="6">
        <v>185</v>
      </c>
      <c r="G46" s="8">
        <v>0.32627865961199293</v>
      </c>
      <c r="H46" s="9">
        <v>0.25</v>
      </c>
      <c r="I46" s="8">
        <v>0.72899999999999998</v>
      </c>
      <c r="J46" s="6">
        <v>265.95</v>
      </c>
      <c r="K46" s="8">
        <v>0.23499999999999999</v>
      </c>
      <c r="L46" s="10">
        <v>41.649999999999977</v>
      </c>
      <c r="M46" s="8">
        <v>0.123</v>
      </c>
      <c r="N46" s="8">
        <v>7.3999999999999996E-2</v>
      </c>
      <c r="O46" s="11">
        <v>5.3518518518518521</v>
      </c>
      <c r="P46" s="12">
        <v>14.227579737335835</v>
      </c>
      <c r="Q46" s="12">
        <v>2.1652218546453326</v>
      </c>
      <c r="R46" s="13">
        <v>45.305508554239523</v>
      </c>
      <c r="S46" s="8">
        <v>5.2423437629678812E-2</v>
      </c>
    </row>
    <row r="47" spans="1:19">
      <c r="A47" s="2" t="s">
        <v>63</v>
      </c>
      <c r="B47" s="30">
        <v>46059</v>
      </c>
      <c r="C47" s="6">
        <v>482</v>
      </c>
      <c r="D47" s="6">
        <v>630</v>
      </c>
      <c r="E47" s="7">
        <v>-0.23492063492063492</v>
      </c>
      <c r="F47" s="6">
        <v>141</v>
      </c>
      <c r="G47" s="8">
        <v>0.29253112033195022</v>
      </c>
      <c r="H47" s="9">
        <v>0.25</v>
      </c>
      <c r="I47" s="8">
        <v>0.69499999999999995</v>
      </c>
      <c r="J47" s="6">
        <v>204.72</v>
      </c>
      <c r="K47" s="8">
        <v>0.23699999999999999</v>
      </c>
      <c r="L47" s="10">
        <v>-2.4199999999999875</v>
      </c>
      <c r="M47" s="8">
        <v>0.10199999999999999</v>
      </c>
      <c r="N47" s="8">
        <v>7.8E-2</v>
      </c>
      <c r="O47" s="11">
        <v>4.7676348547717842</v>
      </c>
      <c r="P47" s="12">
        <v>15.157142857142857</v>
      </c>
      <c r="Q47" s="12">
        <v>2.4213049640426236</v>
      </c>
      <c r="R47" s="13">
        <v>47.71395076201641</v>
      </c>
      <c r="S47" s="8">
        <v>2.5419737919737923E-2</v>
      </c>
    </row>
    <row r="48" spans="1:19">
      <c r="A48" s="2" t="s">
        <v>65</v>
      </c>
      <c r="B48" s="30">
        <v>46059</v>
      </c>
      <c r="C48" s="6">
        <v>384</v>
      </c>
      <c r="D48" s="6">
        <v>461</v>
      </c>
      <c r="E48" s="7">
        <v>-0.16702819956616052</v>
      </c>
      <c r="F48" s="6">
        <v>91</v>
      </c>
      <c r="G48" s="8">
        <v>0.23697916666666666</v>
      </c>
      <c r="H48" s="9">
        <v>0.25</v>
      </c>
      <c r="I48" s="8">
        <v>0.83199999999999996</v>
      </c>
      <c r="J48" s="6">
        <v>190.19</v>
      </c>
      <c r="K48" s="8">
        <v>0.255</v>
      </c>
      <c r="L48" s="10">
        <v>2.9499999999999886</v>
      </c>
      <c r="M48" s="8">
        <v>5.7000000000000002E-2</v>
      </c>
      <c r="N48" s="8">
        <v>0.05</v>
      </c>
      <c r="O48" s="11">
        <v>3.4286458333333329</v>
      </c>
      <c r="P48" s="12">
        <v>14.332773109243698</v>
      </c>
      <c r="Q48" s="12">
        <v>2.0767850091745155</v>
      </c>
      <c r="R48" s="13">
        <v>43.035911456964087</v>
      </c>
      <c r="S48" s="8">
        <v>2.2186160440906308E-2</v>
      </c>
    </row>
    <row r="49" spans="1:19">
      <c r="A49" s="2" t="s">
        <v>66</v>
      </c>
      <c r="B49" s="30">
        <v>46059</v>
      </c>
      <c r="C49" s="6">
        <v>397</v>
      </c>
      <c r="D49" s="6">
        <v>449</v>
      </c>
      <c r="E49" s="7">
        <v>-0.11581291759465479</v>
      </c>
      <c r="F49" s="6">
        <v>92</v>
      </c>
      <c r="G49" s="8">
        <v>0.23173803526448364</v>
      </c>
      <c r="H49" s="9">
        <v>0.245</v>
      </c>
      <c r="I49" s="8">
        <v>0.751</v>
      </c>
      <c r="J49" s="6">
        <v>171.74</v>
      </c>
      <c r="K49" s="8">
        <v>0.24399999999999999</v>
      </c>
      <c r="L49" s="10">
        <v>9.1800000000000068</v>
      </c>
      <c r="M49" s="8">
        <v>8.5999999999999993E-2</v>
      </c>
      <c r="N49" s="8">
        <v>9.0999999999999998E-2</v>
      </c>
      <c r="O49" s="11">
        <v>4.4989924433249371</v>
      </c>
      <c r="P49" s="12">
        <v>12.473087071240107</v>
      </c>
      <c r="Q49" s="12">
        <v>2.2714082734031997</v>
      </c>
      <c r="R49" s="13">
        <v>40.270175847210901</v>
      </c>
      <c r="S49" s="8">
        <v>3.7472527472527474E-2</v>
      </c>
    </row>
    <row r="50" spans="1:19">
      <c r="A50" s="2" t="s">
        <v>67</v>
      </c>
      <c r="B50" s="30">
        <v>46059</v>
      </c>
      <c r="C50" s="6">
        <v>569</v>
      </c>
      <c r="D50" s="6">
        <v>722</v>
      </c>
      <c r="E50" s="7">
        <v>-0.21191135734072022</v>
      </c>
      <c r="F50" s="6">
        <v>94</v>
      </c>
      <c r="G50" s="8">
        <v>0.16520210896309315</v>
      </c>
      <c r="H50" s="9">
        <v>0.24099999999999999</v>
      </c>
      <c r="I50" s="8">
        <v>0.77500000000000002</v>
      </c>
      <c r="J50" s="6">
        <v>264.66000000000003</v>
      </c>
      <c r="K50" s="8">
        <v>0.26900000000000002</v>
      </c>
      <c r="L50" s="10">
        <v>4.5600000000000023</v>
      </c>
      <c r="M50" s="8">
        <v>5.6000000000000001E-2</v>
      </c>
      <c r="N50" s="8">
        <v>0.04</v>
      </c>
      <c r="O50" s="11">
        <v>3.2945518453427063</v>
      </c>
      <c r="P50" s="12">
        <v>13.460263653483992</v>
      </c>
      <c r="Q50" s="12">
        <v>2.1616354103435951</v>
      </c>
      <c r="R50" s="13">
        <v>43.009899493690014</v>
      </c>
      <c r="S50" s="8">
        <v>3.060112656222496E-2</v>
      </c>
    </row>
    <row r="51" spans="1:19">
      <c r="A51" s="2" t="s">
        <v>68</v>
      </c>
      <c r="B51" s="30">
        <v>46059</v>
      </c>
      <c r="C51" s="6">
        <v>239</v>
      </c>
      <c r="D51" s="6"/>
      <c r="E51" s="7"/>
      <c r="F51" s="6">
        <v>68</v>
      </c>
      <c r="G51" s="8">
        <v>0.28451882845188287</v>
      </c>
      <c r="H51" s="9">
        <v>0.23899999999999999</v>
      </c>
      <c r="I51" s="8">
        <v>0.68400000000000005</v>
      </c>
      <c r="J51" s="6">
        <v>164.32</v>
      </c>
      <c r="K51" s="8">
        <v>0.30399999999999999</v>
      </c>
      <c r="L51" s="10">
        <v>164.32</v>
      </c>
      <c r="M51" s="8">
        <v>0.155</v>
      </c>
      <c r="N51" s="8">
        <v>4.2999999999999997E-2</v>
      </c>
      <c r="O51" s="11">
        <v>5.7916317991631798</v>
      </c>
      <c r="P51" s="12">
        <v>16.844347826086956</v>
      </c>
      <c r="Q51" s="12">
        <v>1.4708682406702209</v>
      </c>
      <c r="R51" s="13">
        <v>28.207156767283351</v>
      </c>
      <c r="S51" s="8">
        <v>0.18208414239482201</v>
      </c>
    </row>
    <row r="52" spans="1:19">
      <c r="A52" s="2" t="s">
        <v>69</v>
      </c>
      <c r="B52" s="30">
        <v>46059</v>
      </c>
      <c r="C52" s="6">
        <v>296</v>
      </c>
      <c r="D52" s="6">
        <v>387</v>
      </c>
      <c r="E52" s="7">
        <v>-0.23514211886304909</v>
      </c>
      <c r="F52" s="6">
        <v>79</v>
      </c>
      <c r="G52" s="8">
        <v>0.26689189189189189</v>
      </c>
      <c r="H52" s="9">
        <v>0.23499999999999999</v>
      </c>
      <c r="I52" s="8">
        <v>0.69799999999999995</v>
      </c>
      <c r="J52" s="6">
        <v>147.91999999999999</v>
      </c>
      <c r="K52" s="8">
        <v>0.218</v>
      </c>
      <c r="L52" s="10">
        <v>-41.140000000000015</v>
      </c>
      <c r="M52" s="8">
        <v>0.159</v>
      </c>
      <c r="N52" s="8">
        <v>0.19700000000000001</v>
      </c>
      <c r="O52" s="11">
        <v>6.1293918918918919</v>
      </c>
      <c r="P52" s="12">
        <v>16.448754448398578</v>
      </c>
      <c r="Q52" s="12">
        <v>2.0076419031203074</v>
      </c>
      <c r="R52" s="13">
        <v>41.72525689561926</v>
      </c>
      <c r="S52" s="8">
        <v>6.7639338950097216E-2</v>
      </c>
    </row>
    <row r="53" spans="1:19">
      <c r="A53" s="2" t="s">
        <v>71</v>
      </c>
      <c r="B53" s="30">
        <v>46059</v>
      </c>
      <c r="C53" s="6">
        <v>407</v>
      </c>
      <c r="D53" s="6">
        <v>362</v>
      </c>
      <c r="E53" s="7">
        <v>0.12430939226519337</v>
      </c>
      <c r="F53" s="6">
        <v>101</v>
      </c>
      <c r="G53" s="8">
        <v>0.24815724815724816</v>
      </c>
      <c r="H53" s="9">
        <v>0.23300000000000001</v>
      </c>
      <c r="I53" s="8">
        <v>0.69099999999999995</v>
      </c>
      <c r="J53" s="6">
        <v>226.04</v>
      </c>
      <c r="K53" s="8">
        <v>0.245</v>
      </c>
      <c r="L53" s="10">
        <v>69.049999999999983</v>
      </c>
      <c r="M53" s="8">
        <v>0.17</v>
      </c>
      <c r="N53" s="8">
        <v>0.223</v>
      </c>
      <c r="O53" s="11">
        <v>7.0184275184275187</v>
      </c>
      <c r="P53" s="12">
        <v>14.636559139784946</v>
      </c>
      <c r="Q53" s="12">
        <v>1.8112932241639534</v>
      </c>
      <c r="R53" s="13">
        <v>32.224385064590336</v>
      </c>
      <c r="S53" s="8">
        <v>2.3513179571663923E-2</v>
      </c>
    </row>
    <row r="54" spans="1:19">
      <c r="A54" s="2" t="s">
        <v>70</v>
      </c>
      <c r="B54" s="30">
        <v>46059</v>
      </c>
      <c r="C54" s="6">
        <v>541</v>
      </c>
      <c r="D54" s="6">
        <v>674</v>
      </c>
      <c r="E54" s="7">
        <v>-0.19732937685459942</v>
      </c>
      <c r="F54" s="6">
        <v>114</v>
      </c>
      <c r="G54" s="8">
        <v>0.21072088724584104</v>
      </c>
      <c r="H54" s="9">
        <v>0.23300000000000001</v>
      </c>
      <c r="I54" s="8">
        <v>0.78100000000000003</v>
      </c>
      <c r="J54" s="6">
        <v>208.08</v>
      </c>
      <c r="K54" s="8">
        <v>0.22700000000000001</v>
      </c>
      <c r="L54" s="10">
        <v>-0.75999999999999091</v>
      </c>
      <c r="M54" s="8">
        <v>4.3999999999999997E-2</v>
      </c>
      <c r="N54" s="8">
        <v>5.7000000000000002E-2</v>
      </c>
      <c r="O54" s="11">
        <v>2.6977818853974123</v>
      </c>
      <c r="P54" s="12">
        <v>11.921538461538461</v>
      </c>
      <c r="Q54" s="12">
        <v>2.6265160349761181</v>
      </c>
      <c r="R54" s="13">
        <v>53.628412149173393</v>
      </c>
      <c r="S54" s="8">
        <v>3.1823323458120119E-2</v>
      </c>
    </row>
    <row r="55" spans="1:19">
      <c r="A55" s="2" t="s">
        <v>72</v>
      </c>
      <c r="B55" s="30">
        <v>46059</v>
      </c>
      <c r="C55" s="6">
        <v>626</v>
      </c>
      <c r="D55" s="6">
        <v>812</v>
      </c>
      <c r="E55" s="7">
        <v>-0.22906403940886699</v>
      </c>
      <c r="F55" s="6">
        <v>115</v>
      </c>
      <c r="G55" s="8">
        <v>0.18370607028753994</v>
      </c>
      <c r="H55" s="9">
        <v>0.23200000000000001</v>
      </c>
      <c r="I55" s="8">
        <v>0.753</v>
      </c>
      <c r="J55" s="6">
        <v>247.22</v>
      </c>
      <c r="K55" s="8">
        <v>0.28299999999999997</v>
      </c>
      <c r="L55" s="10">
        <v>-56.330000000000013</v>
      </c>
      <c r="M55" s="8">
        <v>0.11799999999999999</v>
      </c>
      <c r="N55" s="8">
        <v>4.8000000000000001E-2</v>
      </c>
      <c r="O55" s="11">
        <v>5.7220447284345051</v>
      </c>
      <c r="P55" s="12">
        <v>15.150586264656615</v>
      </c>
      <c r="Q55" s="12">
        <v>2.5551501113434019</v>
      </c>
      <c r="R55" s="13">
        <v>48.547852115524634</v>
      </c>
      <c r="S55" s="8">
        <v>2.9200133311114814E-2</v>
      </c>
    </row>
    <row r="56" spans="1:19">
      <c r="A56" s="2" t="s">
        <v>73</v>
      </c>
      <c r="B56" s="30">
        <v>46059</v>
      </c>
      <c r="C56" s="6">
        <v>335</v>
      </c>
      <c r="D56" s="6">
        <v>437</v>
      </c>
      <c r="E56" s="7">
        <v>-0.23340961098398169</v>
      </c>
      <c r="F56" s="6">
        <v>65</v>
      </c>
      <c r="G56" s="8">
        <v>0.19402985074626866</v>
      </c>
      <c r="H56" s="9">
        <v>0.22600000000000001</v>
      </c>
      <c r="I56" s="8">
        <v>0.73</v>
      </c>
      <c r="J56" s="6">
        <v>192.33</v>
      </c>
      <c r="K56" s="8">
        <v>0.27600000000000002</v>
      </c>
      <c r="L56" s="10">
        <v>7.6900000000000261</v>
      </c>
      <c r="M56" s="8">
        <v>0.125</v>
      </c>
      <c r="N56" s="8">
        <v>5.2999999999999999E-2</v>
      </c>
      <c r="O56" s="11">
        <v>5.084776119402985</v>
      </c>
      <c r="P56" s="12">
        <v>16.266898954703834</v>
      </c>
      <c r="Q56" s="12">
        <v>1.8319133716932285</v>
      </c>
      <c r="R56" s="13">
        <v>33.151354442884625</v>
      </c>
      <c r="S56" s="8">
        <v>2.4403208051580437E-2</v>
      </c>
    </row>
    <row r="57" spans="1:19">
      <c r="A57" s="2" t="s">
        <v>74</v>
      </c>
      <c r="B57" s="30">
        <v>46059</v>
      </c>
      <c r="C57" s="6">
        <v>270</v>
      </c>
      <c r="D57" s="6">
        <v>464</v>
      </c>
      <c r="E57" s="7">
        <v>-0.41810344827586204</v>
      </c>
      <c r="F57" s="6">
        <v>53</v>
      </c>
      <c r="G57" s="8">
        <v>0.1962962962962963</v>
      </c>
      <c r="H57" s="9">
        <v>0.224</v>
      </c>
      <c r="I57" s="8">
        <v>0.66800000000000004</v>
      </c>
      <c r="J57" s="6">
        <v>159.71</v>
      </c>
      <c r="K57" s="8">
        <v>0.25700000000000001</v>
      </c>
      <c r="L57" s="10">
        <v>-28.639999999999986</v>
      </c>
      <c r="M57" s="8">
        <v>9.2999999999999999E-2</v>
      </c>
      <c r="N57" s="8">
        <v>6.0999999999999999E-2</v>
      </c>
      <c r="O57" s="11">
        <v>4.4374074074074068</v>
      </c>
      <c r="P57" s="12">
        <v>16.855335968379446</v>
      </c>
      <c r="Q57" s="12">
        <v>1.6956535065274745</v>
      </c>
      <c r="R57" s="13">
        <v>32.709285580113956</v>
      </c>
      <c r="S57" s="8">
        <v>3.3340352220520675E-2</v>
      </c>
    </row>
    <row r="58" spans="1:19">
      <c r="A58" s="2" t="s">
        <v>75</v>
      </c>
      <c r="B58" s="30">
        <v>46059</v>
      </c>
      <c r="C58" s="6">
        <v>634</v>
      </c>
      <c r="D58" s="6">
        <v>672</v>
      </c>
      <c r="E58" s="7">
        <v>-5.6547619047619048E-2</v>
      </c>
      <c r="F58" s="6">
        <v>141</v>
      </c>
      <c r="G58" s="8">
        <v>0.22239747634069401</v>
      </c>
      <c r="H58" s="9">
        <v>0.219</v>
      </c>
      <c r="I58" s="8">
        <v>0.79400000000000004</v>
      </c>
      <c r="J58" s="6">
        <v>270.54000000000002</v>
      </c>
      <c r="K58" s="8">
        <v>0.214</v>
      </c>
      <c r="L58" s="10">
        <v>47.190000000000026</v>
      </c>
      <c r="M58" s="8">
        <v>0.159</v>
      </c>
      <c r="N58" s="8">
        <v>0.25</v>
      </c>
      <c r="O58" s="11">
        <v>6.6414826498422714</v>
      </c>
      <c r="P58" s="12">
        <v>16.153666666666666</v>
      </c>
      <c r="Q58" s="12">
        <v>2.3709865978140194</v>
      </c>
      <c r="R58" s="13">
        <v>48.37731943520366</v>
      </c>
      <c r="S58" s="8">
        <v>4.5140586797066014E-2</v>
      </c>
    </row>
    <row r="59" spans="1:19">
      <c r="A59" s="2" t="s">
        <v>76</v>
      </c>
      <c r="B59" s="30">
        <v>46059</v>
      </c>
      <c r="C59" s="6">
        <v>245</v>
      </c>
      <c r="D59" s="6">
        <v>338</v>
      </c>
      <c r="E59" s="7">
        <v>-0.27514792899408286</v>
      </c>
      <c r="F59" s="6">
        <v>71</v>
      </c>
      <c r="G59" s="8">
        <v>0.28979591836734692</v>
      </c>
      <c r="H59" s="9">
        <v>0.216</v>
      </c>
      <c r="I59" s="8">
        <v>0.73899999999999999</v>
      </c>
      <c r="J59" s="6">
        <v>150.01</v>
      </c>
      <c r="K59" s="8">
        <v>0.28899999999999998</v>
      </c>
      <c r="L59" s="10">
        <v>-5.9300000000000068</v>
      </c>
      <c r="M59" s="8">
        <v>4.9000000000000002E-2</v>
      </c>
      <c r="N59" s="8">
        <v>1.4E-2</v>
      </c>
      <c r="O59" s="11">
        <v>2.7897959183673469</v>
      </c>
      <c r="P59" s="12">
        <v>13.080444444444444</v>
      </c>
      <c r="Q59" s="12">
        <v>1.7016147079061463</v>
      </c>
      <c r="R59" s="13">
        <v>34.831011265915606</v>
      </c>
      <c r="S59" s="8">
        <v>2.89377990430622E-2</v>
      </c>
    </row>
    <row r="60" spans="1:19">
      <c r="A60" s="2" t="s">
        <v>77</v>
      </c>
      <c r="B60" s="30">
        <v>46059</v>
      </c>
      <c r="C60" s="6">
        <v>531</v>
      </c>
      <c r="D60" s="6">
        <v>688</v>
      </c>
      <c r="E60" s="7">
        <v>-0.22819767441860464</v>
      </c>
      <c r="F60" s="6">
        <v>134</v>
      </c>
      <c r="G60" s="8">
        <v>0.25235404896421848</v>
      </c>
      <c r="H60" s="9">
        <v>0.21299999999999999</v>
      </c>
      <c r="I60" s="8">
        <v>0.745</v>
      </c>
      <c r="J60" s="6">
        <v>261.45999999999998</v>
      </c>
      <c r="K60" s="8">
        <v>0.27700000000000002</v>
      </c>
      <c r="L60" s="10">
        <v>-34.510000000000048</v>
      </c>
      <c r="M60" s="8">
        <v>9.4E-2</v>
      </c>
      <c r="N60" s="8">
        <v>0.161</v>
      </c>
      <c r="O60" s="11">
        <v>5.1971751412429379</v>
      </c>
      <c r="P60" s="12">
        <v>14.473456790123457</v>
      </c>
      <c r="Q60" s="12">
        <v>2.1453138878749445</v>
      </c>
      <c r="R60" s="13">
        <v>35.871643846095004</v>
      </c>
      <c r="S60" s="8">
        <v>1.8457759265192778E-2</v>
      </c>
    </row>
    <row r="61" spans="1:19">
      <c r="A61" s="2" t="s">
        <v>78</v>
      </c>
      <c r="B61" s="30">
        <v>46059</v>
      </c>
      <c r="C61" s="6">
        <v>250</v>
      </c>
      <c r="D61" s="6">
        <v>357</v>
      </c>
      <c r="E61" s="7">
        <v>-0.29971988795518206</v>
      </c>
      <c r="F61" s="6">
        <v>48</v>
      </c>
      <c r="G61" s="8">
        <v>0.192</v>
      </c>
      <c r="H61" s="9">
        <v>0.21199999999999999</v>
      </c>
      <c r="I61" s="8">
        <v>0.78300000000000003</v>
      </c>
      <c r="J61" s="6">
        <v>145.79</v>
      </c>
      <c r="K61" s="8">
        <v>0.26</v>
      </c>
      <c r="L61" s="10">
        <v>-25.980000000000018</v>
      </c>
      <c r="M61" s="8">
        <v>6.8000000000000005E-2</v>
      </c>
      <c r="N61" s="8">
        <v>3.1E-2</v>
      </c>
      <c r="O61" s="11">
        <v>4.0476000000000001</v>
      </c>
      <c r="P61" s="12">
        <v>14.178205128205127</v>
      </c>
      <c r="Q61" s="12">
        <v>1.758844184975149</v>
      </c>
      <c r="R61" s="13">
        <v>35.503120927361273</v>
      </c>
      <c r="S61" s="8">
        <v>3.3823472356935017E-2</v>
      </c>
    </row>
    <row r="62" spans="1:19">
      <c r="A62" s="2" t="s">
        <v>79</v>
      </c>
      <c r="B62" s="30">
        <v>46059</v>
      </c>
      <c r="C62" s="6">
        <v>373</v>
      </c>
      <c r="D62" s="6">
        <v>440</v>
      </c>
      <c r="E62" s="7">
        <v>-0.15227272727272728</v>
      </c>
      <c r="F62" s="6">
        <v>47</v>
      </c>
      <c r="G62" s="8">
        <v>0.12600536193029491</v>
      </c>
      <c r="H62" s="9">
        <v>0.21099999999999999</v>
      </c>
      <c r="I62" s="8">
        <v>0.79</v>
      </c>
      <c r="J62" s="6">
        <v>178.93</v>
      </c>
      <c r="K62" s="8">
        <v>0.27700000000000002</v>
      </c>
      <c r="L62" s="10">
        <v>-2.5099999999999909</v>
      </c>
      <c r="M62" s="8">
        <v>0.129</v>
      </c>
      <c r="N62" s="8">
        <v>5.7000000000000002E-2</v>
      </c>
      <c r="O62" s="11">
        <v>5.3828418230563004</v>
      </c>
      <c r="P62" s="12">
        <v>15.882633053221289</v>
      </c>
      <c r="Q62" s="12">
        <v>2.1013804281003745</v>
      </c>
      <c r="R62" s="13">
        <v>42.027608562007487</v>
      </c>
      <c r="S62" s="8">
        <v>4.3844414893617019E-2</v>
      </c>
    </row>
    <row r="63" spans="1:19">
      <c r="A63" s="2" t="s">
        <v>80</v>
      </c>
      <c r="B63" s="30">
        <v>46059</v>
      </c>
      <c r="C63" s="6">
        <v>220</v>
      </c>
      <c r="D63" s="6">
        <v>321</v>
      </c>
      <c r="E63" s="7">
        <v>-0.31464174454828658</v>
      </c>
      <c r="F63" s="6">
        <v>66</v>
      </c>
      <c r="G63" s="8">
        <v>0.3</v>
      </c>
      <c r="H63" s="9">
        <v>0.20799999999999999</v>
      </c>
      <c r="I63" s="8">
        <v>0.75900000000000001</v>
      </c>
      <c r="J63" s="6">
        <v>145.22</v>
      </c>
      <c r="K63" s="8">
        <v>0.25800000000000001</v>
      </c>
      <c r="L63" s="10">
        <v>-9.6899999999999977</v>
      </c>
      <c r="M63" s="8">
        <v>0.13200000000000001</v>
      </c>
      <c r="N63" s="8">
        <v>9.7000000000000003E-2</v>
      </c>
      <c r="O63" s="11">
        <v>6.1459090909090905</v>
      </c>
      <c r="P63" s="12">
        <v>17.028282828282826</v>
      </c>
      <c r="Q63" s="12">
        <v>1.5402868509208618</v>
      </c>
      <c r="R63" s="13">
        <v>30.849745214157831</v>
      </c>
      <c r="S63" s="8">
        <v>1.8858488450325187E-2</v>
      </c>
    </row>
    <row r="64" spans="1:19">
      <c r="A64" s="2" t="s">
        <v>81</v>
      </c>
      <c r="B64" s="30">
        <v>46059</v>
      </c>
      <c r="C64" s="6">
        <v>422</v>
      </c>
      <c r="D64" s="6">
        <v>522</v>
      </c>
      <c r="E64" s="7">
        <v>-0.19157088122605365</v>
      </c>
      <c r="F64" s="6">
        <v>70</v>
      </c>
      <c r="G64" s="8">
        <v>0.16587677725118483</v>
      </c>
      <c r="H64" s="9">
        <v>0.20200000000000001</v>
      </c>
      <c r="I64" s="8">
        <v>0.76400000000000001</v>
      </c>
      <c r="J64" s="6">
        <v>204.62</v>
      </c>
      <c r="K64" s="8">
        <v>0.312</v>
      </c>
      <c r="L64" s="10">
        <v>-6.5900000000000034</v>
      </c>
      <c r="M64" s="8">
        <v>7.8E-2</v>
      </c>
      <c r="N64" s="8">
        <v>5.7000000000000002E-2</v>
      </c>
      <c r="O64" s="11">
        <v>4.0260663507109005</v>
      </c>
      <c r="P64" s="12">
        <v>14.34108527131783</v>
      </c>
      <c r="Q64" s="12">
        <v>2.1395420948503365</v>
      </c>
      <c r="R64" s="13">
        <v>43.162936174372007</v>
      </c>
      <c r="S64" s="8">
        <v>4.761314532635888E-2</v>
      </c>
    </row>
    <row r="65" spans="1:19">
      <c r="A65" s="2" t="s">
        <v>82</v>
      </c>
      <c r="B65" s="30">
        <v>46059</v>
      </c>
      <c r="C65" s="6">
        <v>375</v>
      </c>
      <c r="D65" s="6">
        <v>507</v>
      </c>
      <c r="E65" s="7">
        <v>-0.26035502958579881</v>
      </c>
      <c r="F65" s="6">
        <v>60</v>
      </c>
      <c r="G65" s="8">
        <v>0.16</v>
      </c>
      <c r="H65" s="9">
        <v>0.2</v>
      </c>
      <c r="I65" s="8">
        <v>0.81799999999999995</v>
      </c>
      <c r="J65" s="6">
        <v>185.68</v>
      </c>
      <c r="K65" s="8">
        <v>0.30099999999999999</v>
      </c>
      <c r="L65" s="10">
        <v>-33.72</v>
      </c>
      <c r="M65" s="8">
        <v>0.14099999999999999</v>
      </c>
      <c r="N65" s="8">
        <v>0.156</v>
      </c>
      <c r="O65" s="11">
        <v>5.962133333333334</v>
      </c>
      <c r="P65" s="12">
        <v>17.017464788732394</v>
      </c>
      <c r="Q65" s="12">
        <v>2.0351098375208556</v>
      </c>
      <c r="R65" s="13">
        <v>41.199913830245585</v>
      </c>
      <c r="S65" s="8">
        <v>4.4139869281045754E-2</v>
      </c>
    </row>
    <row r="66" spans="1:19">
      <c r="A66" s="2" t="s">
        <v>83</v>
      </c>
      <c r="B66" s="30">
        <v>46059</v>
      </c>
      <c r="C66" s="6">
        <v>288</v>
      </c>
      <c r="D66" s="6">
        <v>448</v>
      </c>
      <c r="E66" s="7">
        <v>-0.35714285714285715</v>
      </c>
      <c r="F66" s="6">
        <v>68</v>
      </c>
      <c r="G66" s="8">
        <v>0.2361111111111111</v>
      </c>
      <c r="H66" s="9">
        <v>0.19700000000000001</v>
      </c>
      <c r="I66" s="8">
        <v>0.72299999999999998</v>
      </c>
      <c r="J66" s="6">
        <v>145.56</v>
      </c>
      <c r="K66" s="8">
        <v>0.24199999999999999</v>
      </c>
      <c r="L66" s="10">
        <v>-30.72999999999999</v>
      </c>
      <c r="M66" s="8">
        <v>0.128</v>
      </c>
      <c r="N66" s="8">
        <v>0.15</v>
      </c>
      <c r="O66" s="11">
        <v>4.7131944444444445</v>
      </c>
      <c r="P66" s="12">
        <v>16.685714285714283</v>
      </c>
      <c r="Q66" s="12">
        <v>1.9931372123631421</v>
      </c>
      <c r="R66" s="13">
        <v>38.279747183292116</v>
      </c>
      <c r="S66" s="8">
        <v>1.9113832853025939E-2</v>
      </c>
    </row>
    <row r="67" spans="1:19">
      <c r="A67" s="2" t="s">
        <v>84</v>
      </c>
      <c r="B67" s="30">
        <v>46059</v>
      </c>
      <c r="C67" s="6">
        <v>441</v>
      </c>
      <c r="D67" s="6">
        <v>550</v>
      </c>
      <c r="E67" s="7">
        <v>-0.19818181818181818</v>
      </c>
      <c r="F67" s="6">
        <v>48</v>
      </c>
      <c r="G67" s="8">
        <v>0.10884353741496598</v>
      </c>
      <c r="H67" s="9">
        <v>0.19700000000000001</v>
      </c>
      <c r="I67" s="8">
        <v>0.79</v>
      </c>
      <c r="J67" s="6">
        <v>210.51</v>
      </c>
      <c r="K67" s="8">
        <v>0.26200000000000001</v>
      </c>
      <c r="L67" s="10">
        <v>-38.27000000000001</v>
      </c>
      <c r="M67" s="8">
        <v>0.125</v>
      </c>
      <c r="N67" s="8">
        <v>0.156</v>
      </c>
      <c r="O67" s="11">
        <v>4.8732426303854872</v>
      </c>
      <c r="P67" s="12">
        <v>15.907328605200947</v>
      </c>
      <c r="Q67" s="12">
        <v>2.1084340792710159</v>
      </c>
      <c r="R67" s="13">
        <v>42.900574794546579</v>
      </c>
      <c r="S67" s="8">
        <v>4.8822943195659399E-2</v>
      </c>
    </row>
    <row r="68" spans="1:19">
      <c r="A68" s="2" t="s">
        <v>85</v>
      </c>
      <c r="B68" s="30">
        <v>46059</v>
      </c>
      <c r="C68" s="6">
        <v>367</v>
      </c>
      <c r="D68" s="6">
        <v>480</v>
      </c>
      <c r="E68" s="7">
        <v>-0.23541666666666666</v>
      </c>
      <c r="F68" s="6">
        <v>86</v>
      </c>
      <c r="G68" s="8">
        <v>0.23433242506811988</v>
      </c>
      <c r="H68" s="9">
        <v>0.19600000000000001</v>
      </c>
      <c r="I68" s="8">
        <v>0.76400000000000001</v>
      </c>
      <c r="J68" s="6">
        <v>150.66999999999999</v>
      </c>
      <c r="K68" s="8">
        <v>0.27200000000000002</v>
      </c>
      <c r="L68" s="10">
        <v>-63.760000000000019</v>
      </c>
      <c r="M68" s="8">
        <v>0.188</v>
      </c>
      <c r="N68" s="8">
        <v>9.8000000000000004E-2</v>
      </c>
      <c r="O68" s="11">
        <v>8.2297002724795654</v>
      </c>
      <c r="P68" s="12">
        <v>15.462721893491123</v>
      </c>
      <c r="Q68" s="12">
        <v>2.5335394906864566</v>
      </c>
      <c r="R68" s="13">
        <v>51.304174686400749</v>
      </c>
      <c r="S68" s="8">
        <v>3.5375161707632601E-2</v>
      </c>
    </row>
    <row r="69" spans="1:19">
      <c r="A69" s="2" t="s">
        <v>86</v>
      </c>
      <c r="B69" s="30">
        <v>46059</v>
      </c>
      <c r="C69" s="6">
        <v>450</v>
      </c>
      <c r="D69" s="6">
        <v>510</v>
      </c>
      <c r="E69" s="7">
        <v>-0.11764705882352941</v>
      </c>
      <c r="F69" s="6">
        <v>125</v>
      </c>
      <c r="G69" s="8">
        <v>0.27777777777777779</v>
      </c>
      <c r="H69" s="9">
        <v>0.19400000000000001</v>
      </c>
      <c r="I69" s="8">
        <v>0.752</v>
      </c>
      <c r="J69" s="6">
        <v>193.55</v>
      </c>
      <c r="K69" s="8">
        <v>0.23499999999999999</v>
      </c>
      <c r="L69" s="10">
        <v>6.3800000000000239</v>
      </c>
      <c r="M69" s="8">
        <v>0.109</v>
      </c>
      <c r="N69" s="8">
        <v>0.106</v>
      </c>
      <c r="O69" s="11">
        <v>4.7744444444444447</v>
      </c>
      <c r="P69" s="12">
        <v>15.763255813953489</v>
      </c>
      <c r="Q69" s="12">
        <v>2.3477934135590091</v>
      </c>
      <c r="R69" s="13">
        <v>48.431929733918878</v>
      </c>
      <c r="S69" s="8">
        <v>4.8391295071474293E-2</v>
      </c>
    </row>
    <row r="70" spans="1:19">
      <c r="A70" s="2" t="s">
        <v>87</v>
      </c>
      <c r="B70" s="30">
        <v>46059</v>
      </c>
      <c r="C70" s="6">
        <v>318</v>
      </c>
      <c r="D70" s="6">
        <v>373</v>
      </c>
      <c r="E70" s="7">
        <v>-0.14745308310991956</v>
      </c>
      <c r="F70" s="6">
        <v>120</v>
      </c>
      <c r="G70" s="8">
        <v>0.37735849056603776</v>
      </c>
      <c r="H70" s="9">
        <v>0.188</v>
      </c>
      <c r="I70" s="8">
        <v>0.70499999999999996</v>
      </c>
      <c r="J70" s="6">
        <v>176.49</v>
      </c>
      <c r="K70" s="8">
        <v>0.29299999999999998</v>
      </c>
      <c r="L70" s="10">
        <v>4.1400000000000148</v>
      </c>
      <c r="M70" s="8">
        <v>0.24199999999999999</v>
      </c>
      <c r="N70" s="8">
        <v>9.9000000000000005E-2</v>
      </c>
      <c r="O70" s="11">
        <v>9.6264150943396221</v>
      </c>
      <c r="P70" s="12">
        <v>20.29659863945578</v>
      </c>
      <c r="Q70" s="12">
        <v>1.7971115261327715</v>
      </c>
      <c r="R70" s="13">
        <v>36.353334466542009</v>
      </c>
      <c r="S70" s="8">
        <v>1.6016311166875786E-2</v>
      </c>
    </row>
    <row r="71" spans="1:19">
      <c r="A71" s="2" t="s">
        <v>88</v>
      </c>
      <c r="B71" s="30">
        <v>46059</v>
      </c>
      <c r="C71" s="6">
        <v>444</v>
      </c>
      <c r="D71" s="6">
        <v>466</v>
      </c>
      <c r="E71" s="7">
        <v>-4.7210300429184553E-2</v>
      </c>
      <c r="F71" s="6">
        <v>114</v>
      </c>
      <c r="G71" s="8">
        <v>0.25675675675675674</v>
      </c>
      <c r="H71" s="9">
        <v>0.185</v>
      </c>
      <c r="I71" s="8">
        <v>0.81200000000000006</v>
      </c>
      <c r="J71" s="6">
        <v>231.47</v>
      </c>
      <c r="K71" s="8">
        <v>0.214</v>
      </c>
      <c r="L71" s="10">
        <v>43.72</v>
      </c>
      <c r="M71" s="8">
        <v>9.5000000000000001E-2</v>
      </c>
      <c r="N71" s="8">
        <v>0.106</v>
      </c>
      <c r="O71" s="11">
        <v>4.6020270270270265</v>
      </c>
      <c r="P71" s="12">
        <v>16.356872037914695</v>
      </c>
      <c r="Q71" s="12">
        <v>1.9492815449223972</v>
      </c>
      <c r="R71" s="13">
        <v>39.94038104289973</v>
      </c>
      <c r="S71" s="8">
        <v>2.5340183883180097E-2</v>
      </c>
    </row>
    <row r="72" spans="1:19">
      <c r="A72" s="2" t="s">
        <v>89</v>
      </c>
      <c r="B72" s="30">
        <v>46059</v>
      </c>
      <c r="C72" s="6">
        <v>311</v>
      </c>
      <c r="D72" s="6">
        <v>423</v>
      </c>
      <c r="E72" s="7">
        <v>-0.26477541371158392</v>
      </c>
      <c r="F72" s="6">
        <v>65</v>
      </c>
      <c r="G72" s="8">
        <v>0.20900321543408359</v>
      </c>
      <c r="H72" s="9">
        <v>0.185</v>
      </c>
      <c r="I72" s="8">
        <v>0.79</v>
      </c>
      <c r="J72" s="6">
        <v>159.02000000000001</v>
      </c>
      <c r="K72" s="8">
        <v>0.28999999999999998</v>
      </c>
      <c r="L72" s="10">
        <v>-10.149999999999977</v>
      </c>
      <c r="M72" s="8">
        <v>5.5E-2</v>
      </c>
      <c r="N72" s="8">
        <v>0</v>
      </c>
      <c r="O72" s="11">
        <v>2.9546623794212219</v>
      </c>
      <c r="P72" s="12">
        <v>14.452684563758387</v>
      </c>
      <c r="Q72" s="12">
        <v>1.9772146061292082</v>
      </c>
      <c r="R72" s="13">
        <v>40.057854357942396</v>
      </c>
      <c r="S72" s="8">
        <v>4.6698587127158561E-2</v>
      </c>
    </row>
    <row r="73" spans="1:19">
      <c r="A73" s="2" t="s">
        <v>91</v>
      </c>
      <c r="B73" s="30">
        <v>46059</v>
      </c>
      <c r="C73" s="6">
        <v>368</v>
      </c>
      <c r="D73" s="6">
        <v>504</v>
      </c>
      <c r="E73" s="7">
        <v>-0.26984126984126983</v>
      </c>
      <c r="F73" s="6">
        <v>58</v>
      </c>
      <c r="G73" s="8">
        <v>0.15760869565217392</v>
      </c>
      <c r="H73" s="9">
        <v>0.185</v>
      </c>
      <c r="I73" s="8">
        <v>0.75700000000000001</v>
      </c>
      <c r="J73" s="6">
        <v>191.28</v>
      </c>
      <c r="K73" s="8">
        <v>0.3</v>
      </c>
      <c r="L73" s="10">
        <v>-15.02000000000001</v>
      </c>
      <c r="M73" s="8">
        <v>6.5000000000000002E-2</v>
      </c>
      <c r="N73" s="8">
        <v>3.4000000000000002E-2</v>
      </c>
      <c r="O73" s="11">
        <v>3.4785326086956521</v>
      </c>
      <c r="P73" s="12">
        <v>12.295664739884394</v>
      </c>
      <c r="Q73" s="12">
        <v>1.9569373941314061</v>
      </c>
      <c r="R73" s="13">
        <v>39.700961940610625</v>
      </c>
      <c r="S73" s="8">
        <v>4.8927769708173773E-2</v>
      </c>
    </row>
    <row r="74" spans="1:19">
      <c r="A74" s="2" t="s">
        <v>90</v>
      </c>
      <c r="B74" s="30">
        <v>46059</v>
      </c>
      <c r="C74" s="6">
        <v>336</v>
      </c>
      <c r="D74" s="6">
        <v>496</v>
      </c>
      <c r="E74" s="7">
        <v>-0.32258064516129031</v>
      </c>
      <c r="F74" s="6">
        <v>46</v>
      </c>
      <c r="G74" s="8">
        <v>0.13690476190476192</v>
      </c>
      <c r="H74" s="9">
        <v>0.185</v>
      </c>
      <c r="I74" s="8">
        <v>0.77400000000000002</v>
      </c>
      <c r="J74" s="6">
        <v>172.12</v>
      </c>
      <c r="K74" s="8">
        <v>0.26100000000000001</v>
      </c>
      <c r="L74" s="10">
        <v>-46.22999999999999</v>
      </c>
      <c r="M74" s="8">
        <v>9.1999999999999998E-2</v>
      </c>
      <c r="N74" s="8">
        <v>8.2000000000000003E-2</v>
      </c>
      <c r="O74" s="11">
        <v>3.9645833333333331</v>
      </c>
      <c r="P74" s="12">
        <v>15.126984126984127</v>
      </c>
      <c r="Q74" s="12">
        <v>2.0129531259288069</v>
      </c>
      <c r="R74" s="13">
        <v>40.343946084127353</v>
      </c>
      <c r="S74" s="8">
        <v>3.7183302036689299E-2</v>
      </c>
    </row>
    <row r="75" spans="1:19">
      <c r="A75" s="2" t="s">
        <v>92</v>
      </c>
      <c r="B75" s="30">
        <v>46059</v>
      </c>
      <c r="C75" s="6">
        <v>343</v>
      </c>
      <c r="D75" s="6">
        <v>386</v>
      </c>
      <c r="E75" s="7">
        <v>-0.11139896373056994</v>
      </c>
      <c r="F75" s="6">
        <v>67</v>
      </c>
      <c r="G75" s="8">
        <v>0.19533527696793002</v>
      </c>
      <c r="H75" s="9">
        <v>0.184</v>
      </c>
      <c r="I75" s="8">
        <v>0.77700000000000002</v>
      </c>
      <c r="J75" s="6">
        <v>151.56</v>
      </c>
      <c r="K75" s="8">
        <v>0.217</v>
      </c>
      <c r="L75" s="10">
        <v>4.0699999999999932</v>
      </c>
      <c r="M75" s="8">
        <v>9.6000000000000002E-2</v>
      </c>
      <c r="N75" s="8">
        <v>0.125</v>
      </c>
      <c r="O75" s="11">
        <v>4.7125364431486885</v>
      </c>
      <c r="P75" s="12">
        <v>12.774074074074075</v>
      </c>
      <c r="Q75" s="12">
        <v>2.2823596531744101</v>
      </c>
      <c r="R75" s="13">
        <v>46.041171813143308</v>
      </c>
      <c r="S75" s="8">
        <v>2.9567211235310975E-2</v>
      </c>
    </row>
    <row r="76" spans="1:19">
      <c r="A76" s="2" t="s">
        <v>93</v>
      </c>
      <c r="B76" s="30">
        <v>46059</v>
      </c>
      <c r="C76" s="6">
        <v>217</v>
      </c>
      <c r="D76" s="6">
        <v>309</v>
      </c>
      <c r="E76" s="7">
        <v>-0.29773462783171523</v>
      </c>
      <c r="F76" s="6">
        <v>53</v>
      </c>
      <c r="G76" s="8">
        <v>0.24423963133640553</v>
      </c>
      <c r="H76" s="9">
        <v>0.183</v>
      </c>
      <c r="I76" s="8">
        <v>0.71299999999999997</v>
      </c>
      <c r="J76" s="6">
        <v>149.22999999999999</v>
      </c>
      <c r="K76" s="8">
        <v>0.222</v>
      </c>
      <c r="L76" s="10">
        <v>6.5999999999999943</v>
      </c>
      <c r="M76" s="8">
        <v>0.129</v>
      </c>
      <c r="N76" s="8">
        <v>0.20499999999999999</v>
      </c>
      <c r="O76" s="11">
        <v>5.5235023041474651</v>
      </c>
      <c r="P76" s="12">
        <v>17.40408163265306</v>
      </c>
      <c r="Q76" s="12">
        <v>1.4967917704799034</v>
      </c>
      <c r="R76" s="13">
        <v>26.047041479595258</v>
      </c>
      <c r="S76" s="8">
        <v>2.3709801903781837E-2</v>
      </c>
    </row>
    <row r="77" spans="1:19">
      <c r="A77" s="2" t="s">
        <v>94</v>
      </c>
      <c r="B77" s="30">
        <v>46059</v>
      </c>
      <c r="C77" s="6">
        <v>279</v>
      </c>
      <c r="D77" s="6">
        <v>342</v>
      </c>
      <c r="E77" s="7">
        <v>-0.18421052631578946</v>
      </c>
      <c r="F77" s="6">
        <v>81</v>
      </c>
      <c r="G77" s="8">
        <v>0.29032258064516131</v>
      </c>
      <c r="H77" s="9">
        <v>0.182</v>
      </c>
      <c r="I77" s="8">
        <v>0.746</v>
      </c>
      <c r="J77" s="6">
        <v>155.30000000000001</v>
      </c>
      <c r="K77" s="8">
        <v>0.27300000000000002</v>
      </c>
      <c r="L77" s="10">
        <v>-7.9699999999999989</v>
      </c>
      <c r="M77" s="8">
        <v>0.14299999999999999</v>
      </c>
      <c r="N77" s="8">
        <v>0.14899999999999999</v>
      </c>
      <c r="O77" s="11">
        <v>5.7028673835125447</v>
      </c>
      <c r="P77" s="12">
        <v>13.716141732283464</v>
      </c>
      <c r="Q77" s="12">
        <v>1.8601186005364063</v>
      </c>
      <c r="R77" s="13">
        <v>37.276239536381198</v>
      </c>
      <c r="S77" s="8">
        <v>4.357229227845915E-2</v>
      </c>
    </row>
    <row r="78" spans="1:19">
      <c r="A78" s="2" t="s">
        <v>95</v>
      </c>
      <c r="B78" s="30">
        <v>46059</v>
      </c>
      <c r="C78" s="6">
        <v>269</v>
      </c>
      <c r="D78" s="6">
        <v>321</v>
      </c>
      <c r="E78" s="7">
        <v>-0.16199376947040497</v>
      </c>
      <c r="F78" s="6">
        <v>57</v>
      </c>
      <c r="G78" s="8">
        <v>0.21189591078066913</v>
      </c>
      <c r="H78" s="9">
        <v>0.18</v>
      </c>
      <c r="I78" s="8">
        <v>0.73299999999999998</v>
      </c>
      <c r="J78" s="6">
        <v>140.41</v>
      </c>
      <c r="K78" s="8">
        <v>0.23899999999999999</v>
      </c>
      <c r="L78" s="10">
        <v>-3.289999999999992</v>
      </c>
      <c r="M78" s="8">
        <v>0.13</v>
      </c>
      <c r="N78" s="8">
        <v>0.125</v>
      </c>
      <c r="O78" s="11">
        <v>5.6791821561338294</v>
      </c>
      <c r="P78" s="12">
        <v>14.88</v>
      </c>
      <c r="Q78" s="12">
        <v>1.9139547640540218</v>
      </c>
      <c r="R78" s="13">
        <v>33.687059326258812</v>
      </c>
      <c r="S78" s="8">
        <v>1.2701902748414377E-2</v>
      </c>
    </row>
    <row r="79" spans="1:19">
      <c r="A79" s="2" t="s">
        <v>97</v>
      </c>
      <c r="B79" s="30">
        <v>46059</v>
      </c>
      <c r="C79" s="6">
        <v>281</v>
      </c>
      <c r="D79" s="6">
        <v>376</v>
      </c>
      <c r="E79" s="7">
        <v>-0.25265957446808512</v>
      </c>
      <c r="F79" s="6">
        <v>56</v>
      </c>
      <c r="G79" s="8">
        <v>0.199288256227758</v>
      </c>
      <c r="H79" s="9">
        <v>0.17599999999999999</v>
      </c>
      <c r="I79" s="8">
        <v>0.71699999999999997</v>
      </c>
      <c r="J79" s="6">
        <v>165.31</v>
      </c>
      <c r="K79" s="8">
        <v>0.247</v>
      </c>
      <c r="L79" s="10">
        <v>-12.849999999999994</v>
      </c>
      <c r="M79" s="8">
        <v>7.8E-2</v>
      </c>
      <c r="N79" s="8">
        <v>7.3999999999999996E-2</v>
      </c>
      <c r="O79" s="11">
        <v>4.1078291814946617</v>
      </c>
      <c r="P79" s="12">
        <v>14.680297397769516</v>
      </c>
      <c r="Q79" s="12">
        <v>1.7151900339733168</v>
      </c>
      <c r="R79" s="13">
        <v>28.897223398463492</v>
      </c>
      <c r="S79" s="8">
        <v>2.6759472472262926E-2</v>
      </c>
    </row>
    <row r="80" spans="1:19">
      <c r="A80" s="2" t="s">
        <v>96</v>
      </c>
      <c r="B80" s="30">
        <v>46059</v>
      </c>
      <c r="C80" s="6">
        <v>375</v>
      </c>
      <c r="D80" s="6">
        <v>519</v>
      </c>
      <c r="E80" s="7">
        <v>-0.2774566473988439</v>
      </c>
      <c r="F80" s="6">
        <v>58</v>
      </c>
      <c r="G80" s="8">
        <v>0.15466666666666667</v>
      </c>
      <c r="H80" s="9">
        <v>0.17599999999999999</v>
      </c>
      <c r="I80" s="8">
        <v>0.71899999999999997</v>
      </c>
      <c r="J80" s="6">
        <v>219.03</v>
      </c>
      <c r="K80" s="8">
        <v>0.24299999999999999</v>
      </c>
      <c r="L80" s="10">
        <v>-36.039999999999992</v>
      </c>
      <c r="M80" s="8">
        <v>0.104</v>
      </c>
      <c r="N80" s="8">
        <v>0.129</v>
      </c>
      <c r="O80" s="11">
        <v>4.3730666666666673</v>
      </c>
      <c r="P80" s="12">
        <v>15.323782234957021</v>
      </c>
      <c r="Q80" s="12">
        <v>1.7480469905220613</v>
      </c>
      <c r="R80" s="13">
        <v>35.301100305894167</v>
      </c>
      <c r="S80" s="8">
        <v>2.7078375581996897E-2</v>
      </c>
    </row>
    <row r="81" spans="1:19">
      <c r="A81" s="2" t="s">
        <v>98</v>
      </c>
      <c r="B81" s="30">
        <v>46059</v>
      </c>
      <c r="C81" s="6">
        <v>412</v>
      </c>
      <c r="D81" s="6">
        <v>442</v>
      </c>
      <c r="E81" s="7">
        <v>-6.7873303167420809E-2</v>
      </c>
      <c r="F81" s="6">
        <v>87</v>
      </c>
      <c r="G81" s="8">
        <v>0.21116504854368931</v>
      </c>
      <c r="H81" s="9">
        <v>0.17499999999999999</v>
      </c>
      <c r="I81" s="8">
        <v>0.79400000000000004</v>
      </c>
      <c r="J81" s="6">
        <v>183.51</v>
      </c>
      <c r="K81" s="8">
        <v>0.221</v>
      </c>
      <c r="L81" s="10">
        <v>-15.850000000000023</v>
      </c>
      <c r="M81" s="8">
        <v>0.112</v>
      </c>
      <c r="N81" s="8">
        <v>0.217</v>
      </c>
      <c r="O81" s="11">
        <v>5.5730582524271846</v>
      </c>
      <c r="P81" s="12">
        <v>14.183979328165375</v>
      </c>
      <c r="Q81" s="12">
        <v>2.2582780496567656</v>
      </c>
      <c r="R81" s="13">
        <v>45.468911775925022</v>
      </c>
      <c r="S81" s="8">
        <v>2.070046858104049E-2</v>
      </c>
    </row>
    <row r="82" spans="1:19">
      <c r="A82" s="2" t="s">
        <v>99</v>
      </c>
      <c r="B82" s="30">
        <v>46059</v>
      </c>
      <c r="C82" s="6">
        <v>307</v>
      </c>
      <c r="D82" s="6">
        <v>381</v>
      </c>
      <c r="E82" s="7">
        <v>-0.1942257217847769</v>
      </c>
      <c r="F82" s="6">
        <v>65</v>
      </c>
      <c r="G82" s="8">
        <v>0.21172638436482086</v>
      </c>
      <c r="H82" s="9">
        <v>0.17</v>
      </c>
      <c r="I82" s="8">
        <v>0.70799999999999996</v>
      </c>
      <c r="J82" s="6">
        <v>162.31</v>
      </c>
      <c r="K82" s="8">
        <v>0.27</v>
      </c>
      <c r="L82" s="10">
        <v>-4.1999999999999886</v>
      </c>
      <c r="M82" s="8">
        <v>0.124</v>
      </c>
      <c r="N82" s="8">
        <v>9.4E-2</v>
      </c>
      <c r="O82" s="11">
        <v>6.0270358306188925</v>
      </c>
      <c r="P82" s="12">
        <v>16.285223367697593</v>
      </c>
      <c r="Q82" s="12">
        <v>1.9283359873718746</v>
      </c>
      <c r="R82" s="13">
        <v>38.623621465097649</v>
      </c>
      <c r="S82" s="8">
        <v>3.5777635986600734E-2</v>
      </c>
    </row>
    <row r="83" spans="1:19">
      <c r="A83" s="2" t="s">
        <v>100</v>
      </c>
      <c r="B83" s="30">
        <v>46059</v>
      </c>
      <c r="C83" s="6">
        <v>461</v>
      </c>
      <c r="D83" s="6">
        <v>498</v>
      </c>
      <c r="E83" s="7">
        <v>-7.4297188755020074E-2</v>
      </c>
      <c r="F83" s="6">
        <v>114</v>
      </c>
      <c r="G83" s="8">
        <v>0.24728850325379609</v>
      </c>
      <c r="H83" s="9">
        <v>0.16900000000000001</v>
      </c>
      <c r="I83" s="8">
        <v>0.73499999999999999</v>
      </c>
      <c r="J83" s="6">
        <v>187.76</v>
      </c>
      <c r="K83" s="8">
        <v>0.23100000000000001</v>
      </c>
      <c r="L83" s="10">
        <v>-5.7700000000000102</v>
      </c>
      <c r="M83" s="8">
        <v>0.252</v>
      </c>
      <c r="N83" s="8">
        <v>0.19800000000000001</v>
      </c>
      <c r="O83" s="11">
        <v>10.458568329718004</v>
      </c>
      <c r="P83" s="12">
        <v>16.475829383886257</v>
      </c>
      <c r="Q83" s="12">
        <v>2.509189067780762</v>
      </c>
      <c r="R83" s="13">
        <v>49.733702599062639</v>
      </c>
      <c r="S83" s="8">
        <v>2.1809595363314369E-2</v>
      </c>
    </row>
    <row r="84" spans="1:19">
      <c r="A84" s="2" t="s">
        <v>101</v>
      </c>
      <c r="B84" s="30">
        <v>46059</v>
      </c>
      <c r="C84" s="6">
        <v>537</v>
      </c>
      <c r="D84" s="6">
        <v>594</v>
      </c>
      <c r="E84" s="7">
        <v>-9.5959595959595953E-2</v>
      </c>
      <c r="F84" s="6">
        <v>91</v>
      </c>
      <c r="G84" s="8">
        <v>0.16945996275605213</v>
      </c>
      <c r="H84" s="9">
        <v>0.16900000000000001</v>
      </c>
      <c r="I84" s="8">
        <v>0.77400000000000002</v>
      </c>
      <c r="J84" s="6">
        <v>242.62</v>
      </c>
      <c r="K84" s="8">
        <v>0.307</v>
      </c>
      <c r="L84" s="10">
        <v>-16.810000000000002</v>
      </c>
      <c r="M84" s="8">
        <v>0.13</v>
      </c>
      <c r="N84" s="8">
        <v>0.20399999999999999</v>
      </c>
      <c r="O84" s="11">
        <v>6.5148975791433896</v>
      </c>
      <c r="P84" s="12">
        <v>14.815705765407555</v>
      </c>
      <c r="Q84" s="12">
        <v>2.2627746613128417</v>
      </c>
      <c r="R84" s="13">
        <v>46.170966944192564</v>
      </c>
      <c r="S84" s="8">
        <v>3.8424112333422772E-2</v>
      </c>
    </row>
    <row r="85" spans="1:19">
      <c r="A85" s="2" t="s">
        <v>102</v>
      </c>
      <c r="B85" s="30">
        <v>46059</v>
      </c>
      <c r="C85" s="6">
        <v>279</v>
      </c>
      <c r="D85" s="6">
        <v>393</v>
      </c>
      <c r="E85" s="7">
        <v>-0.29007633587786258</v>
      </c>
      <c r="F85" s="6">
        <v>73</v>
      </c>
      <c r="G85" s="8">
        <v>0.26164874551971329</v>
      </c>
      <c r="H85" s="9">
        <v>0.16700000000000001</v>
      </c>
      <c r="I85" s="8">
        <v>0.69199999999999995</v>
      </c>
      <c r="J85" s="6">
        <v>149.84</v>
      </c>
      <c r="K85" s="8">
        <v>0.25</v>
      </c>
      <c r="L85" s="10">
        <v>0.75</v>
      </c>
      <c r="M85" s="8">
        <v>0.14299999999999999</v>
      </c>
      <c r="N85" s="8">
        <v>0.17100000000000001</v>
      </c>
      <c r="O85" s="11">
        <v>5.9663082437275978</v>
      </c>
      <c r="P85" s="12">
        <v>15.878151260504202</v>
      </c>
      <c r="Q85" s="12">
        <v>1.9485605233638055</v>
      </c>
      <c r="R85" s="13">
        <v>39.208489054991993</v>
      </c>
      <c r="S85" s="8">
        <v>1.8051063829787235E-2</v>
      </c>
    </row>
    <row r="86" spans="1:19">
      <c r="A86" s="2" t="s">
        <v>103</v>
      </c>
      <c r="B86" s="30">
        <v>46059</v>
      </c>
      <c r="C86" s="6">
        <v>338</v>
      </c>
      <c r="D86" s="6">
        <v>422</v>
      </c>
      <c r="E86" s="7">
        <v>-0.1990521327014218</v>
      </c>
      <c r="F86" s="6">
        <v>69</v>
      </c>
      <c r="G86" s="8">
        <v>0.20414201183431951</v>
      </c>
      <c r="H86" s="9">
        <v>0.16300000000000001</v>
      </c>
      <c r="I86" s="8">
        <v>0.76300000000000001</v>
      </c>
      <c r="J86" s="6">
        <v>176.85</v>
      </c>
      <c r="K86" s="8">
        <v>0.28399999999999997</v>
      </c>
      <c r="L86" s="10">
        <v>-16.409999999999997</v>
      </c>
      <c r="M86" s="8">
        <v>0.16300000000000001</v>
      </c>
      <c r="N86" s="8">
        <v>6.6000000000000003E-2</v>
      </c>
      <c r="O86" s="11">
        <v>6.1062130177514797</v>
      </c>
      <c r="P86" s="12">
        <v>15.257947019867549</v>
      </c>
      <c r="Q86" s="12">
        <v>1.9834659440380928</v>
      </c>
      <c r="R86" s="13">
        <v>40.118744698897373</v>
      </c>
      <c r="S86" s="8">
        <v>2.9633544749823819E-2</v>
      </c>
    </row>
    <row r="87" spans="1:19">
      <c r="A87" s="2" t="s">
        <v>104</v>
      </c>
      <c r="B87" s="30">
        <v>46059</v>
      </c>
      <c r="C87" s="6">
        <v>346</v>
      </c>
      <c r="D87" s="6">
        <v>383</v>
      </c>
      <c r="E87" s="7">
        <v>-9.6605744125326368E-2</v>
      </c>
      <c r="F87" s="6">
        <v>88</v>
      </c>
      <c r="G87" s="8">
        <v>0.25433526011560692</v>
      </c>
      <c r="H87" s="9">
        <v>0.161</v>
      </c>
      <c r="I87" s="8">
        <v>0.67800000000000005</v>
      </c>
      <c r="J87" s="6">
        <v>185.88</v>
      </c>
      <c r="K87" s="8">
        <v>0.28499999999999998</v>
      </c>
      <c r="L87" s="10">
        <v>9.3799999999999955</v>
      </c>
      <c r="M87" s="8">
        <v>0.223</v>
      </c>
      <c r="N87" s="8">
        <v>0.28899999999999998</v>
      </c>
      <c r="O87" s="11">
        <v>8.7618497109826592</v>
      </c>
      <c r="P87" s="12">
        <v>18.002134146341461</v>
      </c>
      <c r="Q87" s="12">
        <v>1.8984494709565636</v>
      </c>
      <c r="R87" s="13">
        <v>38.465676780718745</v>
      </c>
      <c r="S87" s="8">
        <v>2.5770629370629371E-2</v>
      </c>
    </row>
    <row r="88" spans="1:19">
      <c r="A88" s="2" t="s">
        <v>105</v>
      </c>
      <c r="B88" s="30">
        <v>46059</v>
      </c>
      <c r="C88" s="6">
        <v>299</v>
      </c>
      <c r="D88" s="6">
        <v>381</v>
      </c>
      <c r="E88" s="7">
        <v>-0.21522309711286089</v>
      </c>
      <c r="F88" s="6">
        <v>55</v>
      </c>
      <c r="G88" s="8">
        <v>0.18394648829431437</v>
      </c>
      <c r="H88" s="9">
        <v>0.154</v>
      </c>
      <c r="I88" s="8">
        <v>0.72699999999999998</v>
      </c>
      <c r="J88" s="6">
        <v>163.34</v>
      </c>
      <c r="K88" s="8">
        <v>0.30299999999999999</v>
      </c>
      <c r="L88" s="10">
        <v>-22.310000000000002</v>
      </c>
      <c r="M88" s="8">
        <v>5.7000000000000002E-2</v>
      </c>
      <c r="N88" s="8">
        <v>9.2999999999999999E-2</v>
      </c>
      <c r="O88" s="11">
        <v>3.4615384615384617</v>
      </c>
      <c r="P88" s="12">
        <v>14.504626334519573</v>
      </c>
      <c r="Q88" s="12">
        <v>1.8659091142902613</v>
      </c>
      <c r="R88" s="13">
        <v>38.263744336965836</v>
      </c>
      <c r="S88" s="8">
        <v>4.0396799999999997E-2</v>
      </c>
    </row>
    <row r="89" spans="1:19">
      <c r="A89" s="2" t="s">
        <v>106</v>
      </c>
      <c r="B89" s="30">
        <v>46059</v>
      </c>
      <c r="C89" s="6">
        <v>317</v>
      </c>
      <c r="D89" s="6">
        <v>380</v>
      </c>
      <c r="E89" s="7">
        <v>-0.16578947368421051</v>
      </c>
      <c r="F89" s="6">
        <v>44</v>
      </c>
      <c r="G89" s="8">
        <v>0.13880126182965299</v>
      </c>
      <c r="H89" s="9">
        <v>0.153</v>
      </c>
      <c r="I89" s="8">
        <v>0.85899999999999999</v>
      </c>
      <c r="J89" s="6">
        <v>157.22999999999999</v>
      </c>
      <c r="K89" s="8">
        <v>0.23799999999999999</v>
      </c>
      <c r="L89" s="10">
        <v>-11.77000000000001</v>
      </c>
      <c r="M89" s="8">
        <v>0.107</v>
      </c>
      <c r="N89" s="8">
        <v>0.13900000000000001</v>
      </c>
      <c r="O89" s="11">
        <v>4.1230283911671926</v>
      </c>
      <c r="P89" s="12">
        <v>15.159016393442624</v>
      </c>
      <c r="Q89" s="12">
        <v>2.021282283742146</v>
      </c>
      <c r="R89" s="13">
        <v>42.123004515677671</v>
      </c>
      <c r="S89" s="8">
        <v>3.1449494186924352E-2</v>
      </c>
    </row>
    <row r="90" spans="1:19">
      <c r="A90" s="2" t="s">
        <v>107</v>
      </c>
      <c r="B90" s="30">
        <v>46059</v>
      </c>
      <c r="C90" s="6">
        <v>709</v>
      </c>
      <c r="D90" s="6">
        <v>843</v>
      </c>
      <c r="E90" s="7">
        <v>-0.15895610913404506</v>
      </c>
      <c r="F90" s="6">
        <v>176</v>
      </c>
      <c r="G90" s="8">
        <v>0.24823695345557123</v>
      </c>
      <c r="H90" s="9">
        <v>0.152</v>
      </c>
      <c r="I90" s="8">
        <v>0.74299999999999999</v>
      </c>
      <c r="J90" s="6">
        <v>282.7</v>
      </c>
      <c r="K90" s="8">
        <v>0.254</v>
      </c>
      <c r="L90" s="10">
        <v>-9.5699999999999932</v>
      </c>
      <c r="M90" s="8">
        <v>0.13800000000000001</v>
      </c>
      <c r="N90" s="8">
        <v>3.7999999999999999E-2</v>
      </c>
      <c r="O90" s="11">
        <v>6.4607898448519041</v>
      </c>
      <c r="P90" s="12">
        <v>13.829117647058823</v>
      </c>
      <c r="Q90" s="12">
        <v>2.585756311692577</v>
      </c>
      <c r="R90" s="13">
        <v>42.819243013795543</v>
      </c>
      <c r="S90" s="8">
        <v>1.5209179024107365E-2</v>
      </c>
    </row>
    <row r="91" spans="1:19">
      <c r="A91" s="2" t="s">
        <v>108</v>
      </c>
      <c r="B91" s="30">
        <v>46059</v>
      </c>
      <c r="C91" s="6">
        <v>496</v>
      </c>
      <c r="D91" s="6">
        <v>544</v>
      </c>
      <c r="E91" s="7">
        <v>-8.8235294117647065E-2</v>
      </c>
      <c r="F91" s="6">
        <v>112</v>
      </c>
      <c r="G91" s="8">
        <v>0.22580645161290322</v>
      </c>
      <c r="H91" s="9">
        <v>0.124</v>
      </c>
      <c r="I91" s="8">
        <v>0.69899999999999995</v>
      </c>
      <c r="J91" s="6">
        <v>228.44</v>
      </c>
      <c r="K91" s="8">
        <v>0.24299999999999999</v>
      </c>
      <c r="L91" s="10">
        <v>23.340000000000003</v>
      </c>
      <c r="M91" s="8">
        <v>9.9000000000000005E-2</v>
      </c>
      <c r="N91" s="8">
        <v>5.3999999999999999E-2</v>
      </c>
      <c r="O91" s="11">
        <v>4.9612903225806457</v>
      </c>
      <c r="P91" s="12">
        <v>14.832548179871521</v>
      </c>
      <c r="Q91" s="12">
        <v>2.187829242305841</v>
      </c>
      <c r="R91" s="13">
        <v>38.706005953423215</v>
      </c>
      <c r="S91" s="8">
        <v>2.5719945664478154E-2</v>
      </c>
    </row>
    <row r="92" spans="1:19">
      <c r="A92" s="2" t="s">
        <v>109</v>
      </c>
      <c r="B92" s="30">
        <v>46059</v>
      </c>
      <c r="C92" s="6">
        <v>353</v>
      </c>
      <c r="D92" s="6">
        <v>476</v>
      </c>
      <c r="E92" s="7">
        <v>-0.25840336134453784</v>
      </c>
      <c r="F92" s="6">
        <v>72</v>
      </c>
      <c r="G92" s="8">
        <v>0.20396600566572237</v>
      </c>
      <c r="H92" s="9">
        <v>7.0999999999999994E-2</v>
      </c>
      <c r="I92" s="8">
        <v>0.75800000000000001</v>
      </c>
      <c r="J92" s="6">
        <v>191.62</v>
      </c>
      <c r="K92" s="8">
        <v>0.248</v>
      </c>
      <c r="L92" s="10">
        <v>-2.7699999999999818</v>
      </c>
      <c r="M92" s="8">
        <v>0.10199999999999999</v>
      </c>
      <c r="N92" s="8">
        <v>0.11799999999999999</v>
      </c>
      <c r="O92" s="11">
        <v>4.7883852691218127</v>
      </c>
      <c r="P92" s="12">
        <v>14.941839762611275</v>
      </c>
      <c r="Q92" s="12">
        <v>1.879210311895978</v>
      </c>
      <c r="R92" s="13">
        <v>37.146435653898337</v>
      </c>
      <c r="S92" s="8">
        <v>1.0875017613075948E-2</v>
      </c>
    </row>
    <row r="93" spans="1:19" s="4" customFormat="1">
      <c r="A93" s="3" t="s">
        <v>110</v>
      </c>
      <c r="B93" s="31">
        <v>46059</v>
      </c>
      <c r="C93" s="14">
        <v>250</v>
      </c>
      <c r="D93" s="14"/>
      <c r="E93" s="15"/>
      <c r="F93" s="14">
        <v>164</v>
      </c>
      <c r="G93" s="16">
        <v>0.65600000000000003</v>
      </c>
      <c r="H93" s="17"/>
      <c r="I93" s="16"/>
      <c r="J93" s="14">
        <v>152.44</v>
      </c>
      <c r="K93" s="16">
        <v>0.29199999999999998</v>
      </c>
      <c r="L93" s="18">
        <v>152.44</v>
      </c>
      <c r="M93" s="16">
        <v>6.4000000000000001E-2</v>
      </c>
      <c r="N93" s="16">
        <v>8.8999999999999996E-2</v>
      </c>
      <c r="O93" s="19">
        <v>3.85</v>
      </c>
      <c r="P93" s="20">
        <v>16.572384937238496</v>
      </c>
      <c r="Q93" s="20">
        <v>1.6650216338121202</v>
      </c>
      <c r="R93" s="21">
        <v>32.734190501180791</v>
      </c>
      <c r="S93" s="16">
        <v>0.18314228456913828</v>
      </c>
    </row>
    <row r="94" spans="1:19">
      <c r="A94" s="2"/>
      <c r="C94" s="22">
        <f>SUBTOTAL(109,Table1[Cust Count])</f>
        <v>35588</v>
      </c>
      <c r="D94" s="22">
        <f>SUBTOTAL(109,Table1[Cust Count Last Year])</f>
        <v>42819</v>
      </c>
      <c r="E94" s="23">
        <f>+Table1[[#Totals],[Cust Count]]/Table1[[#Totals],[Cust Count Last Year]]-1</f>
        <v>-0.168873630864803</v>
      </c>
      <c r="F94" s="22"/>
      <c r="G94" s="24"/>
      <c r="H94" s="25"/>
      <c r="I94" s="24"/>
      <c r="J94" s="22"/>
      <c r="K94" s="24"/>
      <c r="L94" s="26"/>
      <c r="M94" s="24"/>
      <c r="N94" s="24"/>
      <c r="O94" s="27"/>
      <c r="P94" s="28"/>
      <c r="Q94" s="28"/>
      <c r="R94" s="29"/>
      <c r="S94" s="2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2026-02-07T17:21:45Z</dcterms:created>
  <dcterms:modified xsi:type="dcterms:W3CDTF">2026-02-07T17:28:11Z</dcterms:modified>
</cp:coreProperties>
</file>